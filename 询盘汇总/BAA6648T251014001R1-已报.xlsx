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CN25890-J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<sst xmlns="http://schemas.openxmlformats.org/spreadsheetml/2006/main" count="70" uniqueCount="55">
  <si>
    <r>
      <rPr>
        <sz val="16"/>
        <rFont val="Arial"/>
        <charset val="134"/>
      </rPr>
      <t>10.16</t>
    </r>
    <r>
      <rPr>
        <sz val="16"/>
        <rFont val="宋体"/>
        <charset val="134"/>
      </rPr>
      <t>前报出</t>
    </r>
  </si>
  <si>
    <t>名称</t>
  </si>
  <si>
    <t>尺寸</t>
  </si>
  <si>
    <t>标准</t>
  </si>
  <si>
    <t>压力</t>
  </si>
  <si>
    <t>链接面</t>
  </si>
  <si>
    <t>材质</t>
  </si>
  <si>
    <t>Quantity requested</t>
  </si>
  <si>
    <t>Unit of Measure</t>
  </si>
  <si>
    <t>单价</t>
  </si>
  <si>
    <t>总价</t>
  </si>
  <si>
    <t>报价单价</t>
  </si>
  <si>
    <t>报价总价</t>
  </si>
  <si>
    <t>报价美元单价</t>
  </si>
  <si>
    <t>报价美元总价</t>
  </si>
  <si>
    <t>1.5" x 0.5" Red. Thd. Flg.,</t>
  </si>
  <si>
    <t xml:space="preserve">
Manf. Std. to EN 1092-1, PN40, RF x FTE (NPTF), P285NH to EN 10222-4</t>
  </si>
  <si>
    <r>
      <rPr>
        <sz val="10"/>
        <rFont val="Arial"/>
        <charset val="134"/>
      </rPr>
      <t xml:space="preserve">
</t>
    </r>
    <r>
      <rPr>
        <sz val="10"/>
        <rFont val="宋体"/>
        <charset val="134"/>
      </rPr>
      <t>异径螺纹法兰</t>
    </r>
    <r>
      <rPr>
        <sz val="10"/>
        <rFont val="Arial"/>
        <charset val="134"/>
      </rPr>
      <t xml:space="preserve"> </t>
    </r>
  </si>
  <si>
    <t>1.5" x 0.5"</t>
  </si>
  <si>
    <t xml:space="preserve"> EN 1092-1</t>
  </si>
  <si>
    <t>PN40</t>
  </si>
  <si>
    <t>RF x FTE (NPTF)</t>
  </si>
  <si>
    <t>P285NH to EN 10222-4</t>
  </si>
  <si>
    <t>PC</t>
  </si>
  <si>
    <t>3" X 1/2" Red. Thd. Flg.,</t>
  </si>
  <si>
    <t>EN 1092-1, PN16, RF x FTE (BSPP), Wst 1.4401/1.4404 to EN 10222-5</t>
  </si>
  <si>
    <t>3" X 1/2"</t>
  </si>
  <si>
    <t>EN 1092-1</t>
  </si>
  <si>
    <t>PN16</t>
  </si>
  <si>
    <t>RF x FTE (BSPP)</t>
  </si>
  <si>
    <t>Wst 1.4401/1.4404 to EN 10222-5</t>
  </si>
  <si>
    <t>3/4" x 1/2" Reducing Cplg,</t>
  </si>
  <si>
    <t>ISO 4144, BWE X BSPP SE, Wst 1.4401/1.4404 to EN 10213-4</t>
  </si>
  <si>
    <t>异径螺纹管接头</t>
  </si>
  <si>
    <t>3/4" x 1/2"</t>
  </si>
  <si>
    <t>ISO 4144</t>
  </si>
  <si>
    <t>BWE X BSPP SE</t>
  </si>
  <si>
    <t>确认一下是内螺纹还是外螺纹，以及长度是多少</t>
  </si>
  <si>
    <t>2" x 1/2" Red. Thd. Flg.,</t>
  </si>
  <si>
    <t>EN 1092-1, PN16, RF x FTE (NPT), Wst 1.4401/1.4404 to EN 10222-5</t>
  </si>
  <si>
    <t>2" x 1/2"</t>
  </si>
  <si>
    <t xml:space="preserve"> RF x FTE (NPT)</t>
  </si>
  <si>
    <t>3/4" Cplg., ISO 4144,</t>
  </si>
  <si>
    <t>FTE (BSPP), Wst 1.4408 to EN 10213-4</t>
  </si>
  <si>
    <t>螺纹管接头</t>
  </si>
  <si>
    <t>3/4"</t>
  </si>
  <si>
    <t>SO 4144,</t>
  </si>
  <si>
    <t>FTE (BSPP)</t>
  </si>
  <si>
    <t>Wst 1.4408 to EN 10213-4</t>
  </si>
  <si>
    <t>1" Plate Flange, EN 1092-1,</t>
  </si>
  <si>
    <t>PN40, RFFE, Wst 1.4401/1.4404 to EN 10222-5</t>
  </si>
  <si>
    <t>平板法兰</t>
  </si>
  <si>
    <t>1"</t>
  </si>
  <si>
    <t>RFFE</t>
  </si>
  <si>
    <r>
      <rPr>
        <sz val="10"/>
        <rFont val="宋体"/>
        <charset val="134"/>
      </rPr>
      <t>含税出厂交期</t>
    </r>
    <r>
      <rPr>
        <sz val="10"/>
        <rFont val="Arial"/>
        <charset val="134"/>
      </rPr>
      <t xml:space="preserve">50
2025/10/15
</t>
    </r>
    <r>
      <rPr>
        <sz val="10"/>
        <rFont val="宋体"/>
        <charset val="134"/>
      </rPr>
      <t>李宁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</si>
</sst>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sz val="16"/>
      <name val="Arial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6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0" fillId="3" borderId="1" xfId="0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0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0" fillId="0" borderId="1" xfId="0" applyNumberFormat="1" applyBorder="1" applyAlignment="1">
      <alignment vertical="top"/>
    </xf>
    <xf numFmtId="0" fontId="0" fillId="3" borderId="1" xfId="0" applyFill="1" applyBorder="1" applyAlignment="1">
      <alignment vertical="top" wrapText="1"/>
    </xf>
    <xf numFmtId="43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3" fontId="0" fillId="0" borderId="1" xfId="0" applyNumberFormat="1" applyBorder="1" applyAlignment="1">
      <alignment horizontal="right" vertical="top"/>
    </xf>
    <xf numFmtId="43" fontId="2" fillId="0" borderId="0" xfId="0" applyNumberFormat="1" applyFont="1" applyAlignment="1">
      <alignment vertical="top" wrapText="1"/>
    </xf>
    <xf numFmtId="43" fontId="0" fillId="0" borderId="0" xfId="0" applyNumberForma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abSelected="1" topLeftCell="D1" workbookViewId="0">
      <selection activeCell="Q4" sqref="Q4:Q8"/>
    </sheetView>
  </sheetViews>
  <sheetFormatPr defaultColWidth="9" defaultRowHeight="13.2"/>
  <cols>
    <col min="1" max="1" width="9" style="1"/>
    <col min="2" max="2" width="27.6666666666667" style="1" customWidth="1"/>
    <col min="3" max="3" width="61.5555555555556" style="1" customWidth="1"/>
    <col min="4" max="4" width="14.1111111111111" style="1" customWidth="1"/>
    <col min="5" max="5" width="11.8518518518519" style="1" customWidth="1"/>
    <col min="6" max="6" width="12.3333333333333" style="1" customWidth="1"/>
    <col min="7" max="7" width="7.77777777777778" style="1" customWidth="1"/>
    <col min="8" max="8" width="16.2222222222222" style="1" customWidth="1"/>
    <col min="9" max="9" width="29.4444444444444" style="1" customWidth="1"/>
    <col min="10" max="10" width="9.13888888888889" style="1"/>
    <col min="11" max="11" width="8.13888888888889" style="1" customWidth="1"/>
    <col min="12" max="12" width="9.13888888888889" style="1"/>
    <col min="13" max="13" width="11" style="1"/>
    <col min="14" max="14" width="9.13888888888889" style="1"/>
    <col min="15" max="18" width="12.8888888888889" style="1"/>
    <col min="19" max="16382" width="9.13888888888889" style="1"/>
    <col min="16383" max="16384" width="9" style="1"/>
  </cols>
  <sheetData>
    <row r="1" ht="42" customHeight="1" spans="2:2">
      <c r="B1" s="2" t="s">
        <v>0</v>
      </c>
    </row>
    <row r="2" ht="26.4" spans="3:18">
      <c r="C2" s="3"/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9" t="s">
        <v>7</v>
      </c>
      <c r="K2" s="9" t="s">
        <v>8</v>
      </c>
      <c r="L2" s="10" t="s">
        <v>9</v>
      </c>
      <c r="M2" s="10" t="s">
        <v>10</v>
      </c>
      <c r="N2" s="10"/>
      <c r="O2" s="11" t="s">
        <v>11</v>
      </c>
      <c r="P2" s="11" t="s">
        <v>12</v>
      </c>
      <c r="Q2" s="11" t="s">
        <v>13</v>
      </c>
      <c r="R2" s="11" t="s">
        <v>14</v>
      </c>
    </row>
    <row r="3" ht="52" customHeight="1" spans="1:18">
      <c r="A3" s="1">
        <v>890</v>
      </c>
      <c r="B3" s="5" t="s">
        <v>15</v>
      </c>
      <c r="C3" s="5" t="s">
        <v>16</v>
      </c>
      <c r="D3" s="5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12">
        <v>2</v>
      </c>
      <c r="K3" s="6" t="s">
        <v>23</v>
      </c>
      <c r="L3" s="10">
        <v>206.896551724138</v>
      </c>
      <c r="M3" s="10">
        <v>413.793103448276</v>
      </c>
      <c r="N3" s="10"/>
      <c r="O3" s="1">
        <f>L3*1.25</f>
        <v>258.620689655172</v>
      </c>
      <c r="P3" s="1">
        <f t="shared" ref="P3:P8" si="0">O3*J3</f>
        <v>517.241379310345</v>
      </c>
      <c r="Q3" s="1">
        <f t="shared" ref="Q3:Q8" si="1">O3/7.05</f>
        <v>36.6837857666911</v>
      </c>
      <c r="R3" s="1">
        <f t="shared" ref="R3:R8" si="2">Q3*J3</f>
        <v>73.3675715333823</v>
      </c>
    </row>
    <row r="4" ht="31" customHeight="1" spans="1:18">
      <c r="A4" s="1">
        <v>889</v>
      </c>
      <c r="B4" s="6" t="s">
        <v>24</v>
      </c>
      <c r="C4" s="6" t="s">
        <v>25</v>
      </c>
      <c r="D4" s="5" t="s">
        <v>17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12">
        <v>10</v>
      </c>
      <c r="K4" s="6" t="s">
        <v>23</v>
      </c>
      <c r="L4" s="10">
        <v>563.218390804598</v>
      </c>
      <c r="M4" s="10">
        <v>5632.18390804598</v>
      </c>
      <c r="N4" s="10"/>
      <c r="O4" s="1">
        <f>L4*1.25</f>
        <v>704.022988505748</v>
      </c>
      <c r="P4" s="1">
        <f t="shared" si="0"/>
        <v>7040.22988505748</v>
      </c>
      <c r="Q4" s="1">
        <f t="shared" si="1"/>
        <v>99.8614168093259</v>
      </c>
      <c r="R4" s="1">
        <f t="shared" si="2"/>
        <v>998.614168093259</v>
      </c>
    </row>
    <row r="5" ht="34" customHeight="1" spans="2:18">
      <c r="B5" s="6" t="s">
        <v>31</v>
      </c>
      <c r="C5" s="6" t="s">
        <v>32</v>
      </c>
      <c r="D5" s="7" t="s">
        <v>33</v>
      </c>
      <c r="E5" s="8" t="s">
        <v>34</v>
      </c>
      <c r="F5" s="6" t="s">
        <v>35</v>
      </c>
      <c r="G5" s="6"/>
      <c r="H5" s="6" t="s">
        <v>36</v>
      </c>
      <c r="I5" s="6" t="s">
        <v>30</v>
      </c>
      <c r="J5" s="12">
        <v>61</v>
      </c>
      <c r="K5" s="6" t="s">
        <v>23</v>
      </c>
      <c r="L5" s="10">
        <v>0</v>
      </c>
      <c r="M5" s="10">
        <v>0</v>
      </c>
      <c r="N5" s="13" t="s">
        <v>37</v>
      </c>
      <c r="O5" s="1">
        <f>L5*1.25</f>
        <v>0</v>
      </c>
      <c r="P5" s="1">
        <f t="shared" si="0"/>
        <v>0</v>
      </c>
      <c r="Q5" s="1">
        <f t="shared" si="1"/>
        <v>0</v>
      </c>
      <c r="R5" s="1">
        <f t="shared" si="2"/>
        <v>0</v>
      </c>
    </row>
    <row r="6" ht="28" customHeight="1" spans="2:18">
      <c r="B6" s="6" t="s">
        <v>38</v>
      </c>
      <c r="C6" s="6" t="s">
        <v>39</v>
      </c>
      <c r="D6" s="5" t="s">
        <v>17</v>
      </c>
      <c r="E6" s="8" t="s">
        <v>40</v>
      </c>
      <c r="F6" s="6" t="s">
        <v>27</v>
      </c>
      <c r="G6" s="6" t="s">
        <v>28</v>
      </c>
      <c r="H6" s="6" t="s">
        <v>41</v>
      </c>
      <c r="I6" s="6" t="s">
        <v>30</v>
      </c>
      <c r="J6" s="12">
        <v>23</v>
      </c>
      <c r="K6" s="6" t="s">
        <v>23</v>
      </c>
      <c r="L6" s="10">
        <v>379.310344827586</v>
      </c>
      <c r="M6" s="10">
        <v>8724.13793103448</v>
      </c>
      <c r="N6" s="10"/>
      <c r="O6" s="1">
        <f>L6*1.25</f>
        <v>474.137931034483</v>
      </c>
      <c r="P6" s="1">
        <f t="shared" si="0"/>
        <v>10905.1724137931</v>
      </c>
      <c r="Q6" s="1">
        <f t="shared" si="1"/>
        <v>67.2536072389337</v>
      </c>
      <c r="R6" s="1">
        <f t="shared" si="2"/>
        <v>1546.83296649547</v>
      </c>
    </row>
    <row r="7" ht="28" customHeight="1" spans="2:18">
      <c r="B7" s="6" t="s">
        <v>42</v>
      </c>
      <c r="C7" s="6" t="s">
        <v>43</v>
      </c>
      <c r="D7" s="7" t="s">
        <v>44</v>
      </c>
      <c r="E7" s="8" t="s">
        <v>45</v>
      </c>
      <c r="F7" s="6" t="s">
        <v>46</v>
      </c>
      <c r="G7" s="6"/>
      <c r="H7" s="6" t="s">
        <v>47</v>
      </c>
      <c r="I7" s="6" t="s">
        <v>48</v>
      </c>
      <c r="J7" s="12">
        <v>17</v>
      </c>
      <c r="K7" s="6" t="s">
        <v>23</v>
      </c>
      <c r="L7" s="10">
        <v>0</v>
      </c>
      <c r="M7" s="10">
        <v>0</v>
      </c>
      <c r="N7" s="14" t="s">
        <v>37</v>
      </c>
      <c r="O7" s="1">
        <f>L7*1.25</f>
        <v>0</v>
      </c>
      <c r="P7" s="1">
        <f t="shared" si="0"/>
        <v>0</v>
      </c>
      <c r="Q7" s="1">
        <f t="shared" si="1"/>
        <v>0</v>
      </c>
      <c r="R7" s="1">
        <f t="shared" si="2"/>
        <v>0</v>
      </c>
    </row>
    <row r="8" ht="27" customHeight="1" spans="2:18">
      <c r="B8" s="6" t="s">
        <v>49</v>
      </c>
      <c r="C8" s="6" t="s">
        <v>50</v>
      </c>
      <c r="D8" s="7" t="s">
        <v>51</v>
      </c>
      <c r="E8" s="8" t="s">
        <v>52</v>
      </c>
      <c r="F8" s="6" t="s">
        <v>27</v>
      </c>
      <c r="G8" s="6" t="s">
        <v>20</v>
      </c>
      <c r="H8" s="6" t="s">
        <v>53</v>
      </c>
      <c r="I8" s="6" t="s">
        <v>30</v>
      </c>
      <c r="J8" s="12">
        <v>1</v>
      </c>
      <c r="K8" s="6" t="s">
        <v>23</v>
      </c>
      <c r="L8" s="10">
        <v>149.425287356322</v>
      </c>
      <c r="M8" s="10">
        <v>149.425287356322</v>
      </c>
      <c r="N8" s="10"/>
      <c r="O8" s="1">
        <f>L8*1.25</f>
        <v>186.781609195402</v>
      </c>
      <c r="P8" s="1">
        <f t="shared" si="0"/>
        <v>186.781609195402</v>
      </c>
      <c r="Q8" s="1">
        <f t="shared" si="1"/>
        <v>26.4938452759436</v>
      </c>
      <c r="R8" s="1">
        <f t="shared" si="2"/>
        <v>26.4938452759436</v>
      </c>
    </row>
    <row r="9" spans="12:18">
      <c r="L9" s="10"/>
      <c r="M9" s="10">
        <v>14919.5402298851</v>
      </c>
      <c r="N9" s="10"/>
      <c r="P9" s="1">
        <f>SUM(P3:P8)</f>
        <v>18649.4252873563</v>
      </c>
      <c r="R9" s="1">
        <f>SUM(R3:R8)</f>
        <v>2645.30855139806</v>
      </c>
    </row>
    <row r="14" spans="9:9">
      <c r="I14" s="15" t="s">
        <v>54</v>
      </c>
    </row>
    <row r="15" spans="9:9">
      <c r="I15" s="16"/>
    </row>
    <row r="16" spans="9:9">
      <c r="I16" s="16"/>
    </row>
    <row r="17" spans="9:9">
      <c r="I17" s="16"/>
    </row>
    <row r="18" spans="9:9">
      <c r="I18" s="16"/>
    </row>
    <row r="19" spans="9:9">
      <c r="I19" s="16"/>
    </row>
  </sheetData>
  <mergeCells count="1">
    <mergeCell ref="I14:I19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DA5DEFC-4F6D-49E5-ACFF-C29A3ECF3631}">
  <ds:schemaRefs/>
</ds:datastoreItem>
</file>

<file path=customXml/itemProps2.xml><?xml version="1.0" encoding="utf-8"?>
<ds:datastoreItem xmlns:ds="http://schemas.openxmlformats.org/officeDocument/2006/customXml" ds:itemID="{53C74B61-3A6E-4BD0-9397-C27168EA6DDE}">
  <ds:schemaRefs/>
</ds:datastoreItem>
</file>

<file path=customXml/itemProps3.xml><?xml version="1.0" encoding="utf-8"?>
<ds:datastoreItem xmlns:ds="http://schemas.openxmlformats.org/officeDocument/2006/customXml" ds:itemID="{F66548DA-6062-4266-B066-5E44C05240C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CN25890-JN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See Hui</dc:creator>
  <cp:lastModifiedBy>Administrator</cp:lastModifiedBy>
  <dcterms:created xsi:type="dcterms:W3CDTF">2025-10-09T08:30:00Z</dcterms:created>
  <dcterms:modified xsi:type="dcterms:W3CDTF">2025-10-17T03:51:19Z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0x0101004EC5CBD40CB9464EBC9A7CA29481DCCC</vt:lpwstr>
  </property>
  <property fmtid="{D5CDD505-2E9C-101B-9397-08002B2CF9AE}" pid="3" name="ICV">
    <vt:lpwstr>C3267BC2A62D4BFCACD545DED1F81B77_13</vt:lpwstr>
  </property>
  <property fmtid="{D5CDD505-2E9C-101B-9397-08002B2CF9AE}" pid="4" name="KSOProductBuildVer">
    <vt:lpwstr>2052-12.1.0.22529</vt:lpwstr>
  </property>
</Properties>
</file>