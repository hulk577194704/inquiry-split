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Sheet1!$A$2:$V$53</definedName>
    <definedName name="\A">#REF!</definedName>
    <definedName name="\g">[1]BP!#REF!</definedName>
    <definedName name="\k">[2]KP1590_E!#REF!</definedName>
    <definedName name="\L">#REF!</definedName>
    <definedName name="\O">#REF!</definedName>
    <definedName name="\P">#REF!</definedName>
    <definedName name="\r">#REF!</definedName>
    <definedName name="\u">#N/A</definedName>
    <definedName name="\V">#REF!</definedName>
    <definedName name="\x">[2]KP1590_E!#REF!</definedName>
    <definedName name="\z">[2]KP1590_E!#REF!</definedName>
    <definedName name="__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_SF4301">#REF!</definedName>
    <definedName name="__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_SF4301">#REF!</definedName>
    <definedName name="________SF4301">#REF!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F4301">#REF!</definedName>
    <definedName name="______SF4301">#REF!</definedName>
    <definedName name="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F4301">#REF!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F4301">#REF!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F4301">#REF!</definedName>
    <definedName name="__SF4301">#REF!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Fill" hidden="1">#REF!</definedName>
    <definedName name="_mhr1">#REF!</definedName>
    <definedName name="_mhr2">#REF!</definedName>
    <definedName name="_mhr3">#REF!</definedName>
    <definedName name="_mhr4">#REF!</definedName>
    <definedName name="_ngl3">#REF!</definedName>
    <definedName name="_ngl4">#REF!</definedName>
    <definedName name="_Order1" hidden="1">255</definedName>
    <definedName name="_Order2" hidden="1">255</definedName>
    <definedName name="_qty1">#REF!</definedName>
    <definedName name="_qty2">#REF!</definedName>
    <definedName name="_qty3">#REF!</definedName>
    <definedName name="_qty4">#REF!</definedName>
    <definedName name="_Regression_Int">1</definedName>
    <definedName name="_SF4301">#REF!</definedName>
    <definedName name="A">#REF!</definedName>
    <definedName name="AccessSort">#REF!</definedName>
    <definedName name="aCTUATORS">#REF!</definedName>
    <definedName name="aff">#REF!</definedName>
    <definedName name="AFSDF">#REF!</definedName>
    <definedName name="ALI">#REF!</definedName>
    <definedName name="ALL_SHEETS">[3]Insts!#REF!</definedName>
    <definedName name="AMEC_ENGINEERING">'[4]OIL SYST DATA SHTS'!#REF!</definedName>
    <definedName name="APAGE">#REF!</definedName>
    <definedName name="AREA">#REF!</definedName>
    <definedName name="ASDFASDF">#REF!</definedName>
    <definedName name="BLKPAGE">#REF!</definedName>
    <definedName name="BLUELETTERS">#REF!,#REF!,#REF!,#REF!,#REF!,#REF!</definedName>
    <definedName name="BPAGE">#REF!</definedName>
    <definedName name="Busduct">'[5]PRICE-COMP'!#REF!</definedName>
    <definedName name="C_">#REF!</definedName>
    <definedName name="CABLES">[3]Insts!#REF!</definedName>
    <definedName name="CIVIL_WORKS">[3]Insts!#REF!</definedName>
    <definedName name="CLIENT_REF">#REF!</definedName>
    <definedName name="CON">#REF!</definedName>
    <definedName name="contin">#REF!</definedName>
    <definedName name="continuos">#REF!</definedName>
    <definedName name="continuous">'[6]DATA INPUT'!$G$46</definedName>
    <definedName name="COST_SUMMARY">#REF!</definedName>
    <definedName name="CPAGE">#REF!</definedName>
    <definedName name="_xlnm.Criteria">#REF!</definedName>
    <definedName name="CSVheader">#REF!</definedName>
    <definedName name="Data">#REF!</definedName>
    <definedName name="Database">#REF!</definedName>
    <definedName name="DatatoExport">#REF!</definedName>
    <definedName name="DatatoExporttoAccess">#REF!</definedName>
    <definedName name="date">#REF!</definedName>
    <definedName name="DEMOLISION_INST">#REF!</definedName>
    <definedName name="DFSAF">#REF!</definedName>
    <definedName name="DOC_ID">#REF!</definedName>
    <definedName name="DOC_ID2">#REF!</definedName>
    <definedName name="DOC_TYPE">#REF!</definedName>
    <definedName name="DPAGE">#REF!</definedName>
    <definedName name="DSTITLE">#REF!</definedName>
    <definedName name="dukhan">#REF!</definedName>
    <definedName name="EARTHING_MATERI">[3]Insts!#REF!</definedName>
    <definedName name="EPAGE">#REF!</definedName>
    <definedName name="EQUIPMENTLIST">#REF!</definedName>
    <definedName name="EQUIPMENTLISTINDEX">#REF!</definedName>
    <definedName name="ESTRAZIONE">#REF!</definedName>
    <definedName name="feeder">[7]Data!$J$12:$L$13</definedName>
    <definedName name="fin">"Texte 2,Texte 3,Texte 4,Texte 5,Texte 6,Texte 7,Texte 8,Texte 9,Texte 10,Texte 11,Texte 12,Texte 13,Texte 14,Trait 15,Trait 16,Trait 17,Trait 18,Trait 19,Trait 20,Trait 21,Trait 22,Trait 23,Rectangle 24,Trait 25,Rectangle 26,Texte 1"</definedName>
    <definedName name="firealarm">'[5]PRICE-COMP'!#REF!</definedName>
    <definedName name="FPAGE">#REF!</definedName>
    <definedName name="fs_01">#REF!</definedName>
    <definedName name="future">'[6]DATA INPUT'!$G$52</definedName>
    <definedName name="fv">#REF!</definedName>
    <definedName name="GA_408">"GA-408"</definedName>
    <definedName name="Generator">'[5]PRICE-COMP'!#REF!</definedName>
    <definedName name="GLANDS">[3]Insts!#REF!</definedName>
    <definedName name="HEADER">#REF!</definedName>
    <definedName name="HEADINGS">#REF!</definedName>
    <definedName name="heat">[7]Data!$J$6:$L$6</definedName>
    <definedName name="HOOK_UP_MATERIA">[3]Insts!#REF!</definedName>
    <definedName name="IMPRESSION">#REF!</definedName>
    <definedName name="INSTRUMENTS">[3]Insts!#REF!</definedName>
    <definedName name="intermittent">'[6]DATA INPUT'!$G$48</definedName>
    <definedName name="INTROD">[2]KP1590_E!#REF!</definedName>
    <definedName name="isolator">'[5]PRICE-COMP'!#REF!</definedName>
    <definedName name="JB_REF">#REF!</definedName>
    <definedName name="JBA_101">#REF!</definedName>
    <definedName name="JUNCTION_BOXE">[3]Insts!#REF!</definedName>
    <definedName name="LABOUR">#REF!</definedName>
    <definedName name="language">'[5]PRICE-COMP'!#REF!</definedName>
    <definedName name="LEVEL_INSTRUMENTS___DISPLACEMENT_TYPE">#REF!</definedName>
    <definedName name="light">[7]Data!$J$10:$L$10</definedName>
    <definedName name="LIGHT_FITTINGS">[3]Insts!#REF!</definedName>
    <definedName name="Lighting">'[5]PRICE-COMP'!#REF!</definedName>
    <definedName name="m">#REF!</definedName>
    <definedName name="matlN">#REF!</definedName>
    <definedName name="matlP">#REF!</definedName>
    <definedName name="matlP2">#REF!</definedName>
    <definedName name="MENU1">[2]KP1590_E!#REF!</definedName>
    <definedName name="MOD">#REF!</definedName>
    <definedName name="motor">#REF!</definedName>
    <definedName name="motor2">[7]Data!$A$5:$C$34</definedName>
    <definedName name="motor4">[7]Data!$E$5:$G$34</definedName>
    <definedName name="MP_CLIENTREVISION0">#REF!</definedName>
    <definedName name="MP_CLIENTREVISION1">#REF!</definedName>
    <definedName name="MP_CLIENTREVISION2">#REF!</definedName>
    <definedName name="MP_DOCAPPROVER0">#REF!</definedName>
    <definedName name="MP_DOCAPPROVER1">#REF!</definedName>
    <definedName name="MP_DOCAPPROVER2">#REF!</definedName>
    <definedName name="MP_DOCCHECKER0">#REF!</definedName>
    <definedName name="MP_DOCCHECKER1">#REF!</definedName>
    <definedName name="MP_DOCCHECKER2">#REF!</definedName>
    <definedName name="MP_DOCID">#REF!</definedName>
    <definedName name="MP_DOCISSSTADAT">#REF!</definedName>
    <definedName name="MP_DOCISSSTADAT0">#REF!</definedName>
    <definedName name="MP_DOCISSSTADAT1">#REF!</definedName>
    <definedName name="MP_DOCISSSTADAT2">#REF!</definedName>
    <definedName name="MP_DOCREVDES0">#REF!</definedName>
    <definedName name="MP_DOCREVDES1">#REF!</definedName>
    <definedName name="MP_DOCREVDES2">#REF!</definedName>
    <definedName name="MP_EQ_002">#REF!</definedName>
    <definedName name="MP_EQ_003">#REF!</definedName>
    <definedName name="MP_EQ_004">#REF!</definedName>
    <definedName name="MP_EQ_005">#REF!</definedName>
    <definedName name="MP_EQ_006">#REF!</definedName>
    <definedName name="MP_EQ_007">#REF!</definedName>
    <definedName name="MP_EQ_008">#REF!</definedName>
    <definedName name="MP_EQ_009">#REF!</definedName>
    <definedName name="MP_EQ_010">#REF!</definedName>
    <definedName name="MP_EQ_011">#REF!</definedName>
    <definedName name="MP_EQ_012">#REF!</definedName>
    <definedName name="MP_EQ_013">#REF!</definedName>
    <definedName name="MP_EQ_014">#REF!</definedName>
    <definedName name="MP_EQ_015">#REF!</definedName>
    <definedName name="MP_EQ_016">#REF!</definedName>
    <definedName name="MP_EQ_017">#REF!</definedName>
    <definedName name="MP_EQ_018">#REF!</definedName>
    <definedName name="MP_EQ_019">#REF!</definedName>
    <definedName name="MP_EQ_020">#REF!</definedName>
    <definedName name="MP_EQ_021">#REF!</definedName>
    <definedName name="MP_EQ_022">#REF!</definedName>
    <definedName name="MP_EQ_023">#REF!</definedName>
    <definedName name="MP_EQ_024">#REF!</definedName>
    <definedName name="MP_EQ_025">#REF!</definedName>
    <definedName name="MP_EQ_026">#REF!</definedName>
    <definedName name="MP_EQ_027">#REF!</definedName>
    <definedName name="MP_EQ_028">#REF!</definedName>
    <definedName name="MP_EQ_029">#REF!</definedName>
    <definedName name="MP_EQ_030">#REF!</definedName>
    <definedName name="MP_EQ_031">#REF!</definedName>
    <definedName name="MP_EQ_032">#REF!</definedName>
    <definedName name="MP_EQ_033">#REF!</definedName>
    <definedName name="MP_EQ_034">#REF!</definedName>
    <definedName name="MP_EQ_035">#REF!</definedName>
    <definedName name="MP_EQ_036">#REF!</definedName>
    <definedName name="MP_EQ_037">#REF!</definedName>
    <definedName name="MP_EQ_038">#REF!</definedName>
    <definedName name="MP_EQ_039">#REF!</definedName>
    <definedName name="MP_EQ_040">#REF!</definedName>
    <definedName name="MP_EQ_041">#REF!</definedName>
    <definedName name="MP_EQ_042">#REF!</definedName>
    <definedName name="MP_EQ_043">#REF!</definedName>
    <definedName name="MP_EQ_044">#REF!</definedName>
    <definedName name="MP_EQ_045">#REF!</definedName>
    <definedName name="MP_EQ_046">#REF!</definedName>
    <definedName name="MP_EQ_047">#REF!</definedName>
    <definedName name="MP_EQ_048">#REF!</definedName>
    <definedName name="MP_EQ_049">#REF!</definedName>
    <definedName name="MP_EQ_050">#REF!</definedName>
    <definedName name="MP_EQDESC_002">#REF!</definedName>
    <definedName name="MP_EQDESC_003">#REF!</definedName>
    <definedName name="MP_EQDESC_004">#REF!</definedName>
    <definedName name="MP_EQDESC_005">#REF!</definedName>
    <definedName name="MP_EQDESC_006">#REF!</definedName>
    <definedName name="MP_EQDESC_007">#REF!</definedName>
    <definedName name="MP_EQDESC_008">#REF!</definedName>
    <definedName name="MP_EQDESC_009">#REF!</definedName>
    <definedName name="MP_EQDESC_010">#REF!</definedName>
    <definedName name="MP_EQDESC_011">#REF!</definedName>
    <definedName name="MP_EQDESC_012">#REF!</definedName>
    <definedName name="MP_EQDESC_013">#REF!</definedName>
    <definedName name="MP_EQDESC_014">#REF!</definedName>
    <definedName name="MP_EQDESC_015">#REF!</definedName>
    <definedName name="MP_EQDESC_016">#REF!</definedName>
    <definedName name="MP_EQDESC_017">#REF!</definedName>
    <definedName name="MP_EQDESC_018">#REF!</definedName>
    <definedName name="MP_EQDESC_019">#REF!</definedName>
    <definedName name="MP_EQDESC_020">#REF!</definedName>
    <definedName name="MP_EQDESC_021">#REF!</definedName>
    <definedName name="MP_EQDESC_022">#REF!</definedName>
    <definedName name="MP_EQDESC_023">#REF!</definedName>
    <definedName name="MP_EQDESC_024">#REF!</definedName>
    <definedName name="MP_EQDESC_025">#REF!</definedName>
    <definedName name="MP_EQDESC_026">#REF!</definedName>
    <definedName name="MP_EQDESC_027">#REF!</definedName>
    <definedName name="MP_EQDESC_028">#REF!</definedName>
    <definedName name="MP_EQDESC_029">#REF!</definedName>
    <definedName name="MP_EQDESC_030">#REF!</definedName>
    <definedName name="MP_EQDESC_031">#REF!</definedName>
    <definedName name="MP_EQDESC_032">#REF!</definedName>
    <definedName name="MP_EQDESC_033">#REF!</definedName>
    <definedName name="MP_EQDESC_034">#REF!</definedName>
    <definedName name="MP_EQDESC_035">#REF!</definedName>
    <definedName name="MP_EQDESC_036">#REF!</definedName>
    <definedName name="MP_EQDESC_037">#REF!</definedName>
    <definedName name="MP_EQDESC_038">#REF!</definedName>
    <definedName name="MP_EQDESC_039">#REF!</definedName>
    <definedName name="MP_EQDESC_040">#REF!</definedName>
    <definedName name="MP_EQDESC_041">#REF!</definedName>
    <definedName name="MP_EQDESC_042">#REF!</definedName>
    <definedName name="MP_EQDESC_043">#REF!</definedName>
    <definedName name="MP_EQDESC_044">#REF!</definedName>
    <definedName name="MP_EQDESC_045">#REF!</definedName>
    <definedName name="MP_EQDESC_046">#REF!</definedName>
    <definedName name="MP_EQDESC_047">#REF!</definedName>
    <definedName name="MP_EQDESC_048">#REF!</definedName>
    <definedName name="MP_EQDESC_049">#REF!</definedName>
    <definedName name="MP_EQDESC_050">#REF!</definedName>
    <definedName name="MP_EQUIPDESC">#REF!</definedName>
    <definedName name="MP_EQUIPNR">#REF!</definedName>
    <definedName name="MP_EXTREVISION">#REF!</definedName>
    <definedName name="MP_ORIGIN0">#REF!</definedName>
    <definedName name="MP_ORIGIN1">#REF!</definedName>
    <definedName name="MP_ORIGIN2">#REF!</definedName>
    <definedName name="MP_PROCLIENT">#REF!</definedName>
    <definedName name="MP_PROJECTNAME">#REF!</definedName>
    <definedName name="MP_PROLOCATION">#REF!</definedName>
    <definedName name="MP_PROSHORTNAME">#REF!</definedName>
    <definedName name="MP_REQSUBCNO">#REF!</definedName>
    <definedName name="MP_WRDSENDERGRPCOD">#REF!</definedName>
    <definedName name="MSB">'[5]PRICE-COMP'!#REF!</definedName>
    <definedName name="naff">[8]Alternator!#REF!</definedName>
    <definedName name="ngl4tank">#REF!</definedName>
    <definedName name="NOMDOC">#REF!</definedName>
    <definedName name="note">#REF!</definedName>
    <definedName name="NOTE4">#REF!</definedName>
    <definedName name="NUMSPEC">[8]Alternator!#REF!</definedName>
    <definedName name="ORPL">"""ORPL"""</definedName>
    <definedName name="P">[9]BOQ!#REF!</definedName>
    <definedName name="PA_client">#REF!</definedName>
    <definedName name="PA_clientref">#REF!</definedName>
    <definedName name="PA_discipline">#REF!</definedName>
    <definedName name="PA_doctype">#REF!</definedName>
    <definedName name="PA_initiated_userid1">#REF!</definedName>
    <definedName name="PA_initiated_userid2">#REF!</definedName>
    <definedName name="PA_initiated_userid3">#REF!</definedName>
    <definedName name="PA_initiated_userid4">#REF!</definedName>
    <definedName name="PA_initiated_userid5">#REF!</definedName>
    <definedName name="PA_initiated_userid6">#REF!</definedName>
    <definedName name="PA_initiated_userid7">#REF!</definedName>
    <definedName name="PA_initiated_userid8">#REF!</definedName>
    <definedName name="PA_initiated_userid9">#REF!</definedName>
    <definedName name="PA_issuestatus1">#REF!</definedName>
    <definedName name="PA_issuestatus2">#REF!</definedName>
    <definedName name="PA_issuestatus3">#REF!</definedName>
    <definedName name="PA_issuestatus4">#REF!</definedName>
    <definedName name="PA_issuestatus5">#REF!</definedName>
    <definedName name="PA_issuestatus6">#REF!</definedName>
    <definedName name="PA_issuestatus7">#REF!</definedName>
    <definedName name="PA_issuestatus8">#REF!</definedName>
    <definedName name="PA_issuestatus9">#REF!</definedName>
    <definedName name="PA_ourreference">#REF!</definedName>
    <definedName name="PA_project">#REF!</definedName>
    <definedName name="PA_revision">#REF!</definedName>
    <definedName name="PA_revision1">#REF!</definedName>
    <definedName name="PA_revision2">#REF!</definedName>
    <definedName name="PA_revision3">#REF!</definedName>
    <definedName name="PA_revision4">#REF!</definedName>
    <definedName name="PA_revision5">#REF!</definedName>
    <definedName name="PA_revision6">#REF!</definedName>
    <definedName name="PA_revision7">#REF!</definedName>
    <definedName name="PA_revision8">#REF!</definedName>
    <definedName name="PA_revision9">#REF!</definedName>
    <definedName name="PA_subject">#REF!</definedName>
    <definedName name="PA_system">#REF!</definedName>
    <definedName name="PA_vessel">#REF!</definedName>
    <definedName name="PAGE2">#REF!</definedName>
    <definedName name="PAGE7">#REF!</definedName>
    <definedName name="PILOTVLV">#REF!</definedName>
    <definedName name="PNEUTX">#REF!</definedName>
    <definedName name="ppcontiuous">'[6]DATA INPUT'!$G$56</definedName>
    <definedName name="ppfuture">'[6]DATA INPUT'!$G$62</definedName>
    <definedName name="ppintermitent">'[6]DATA INPUT'!$G$58</definedName>
    <definedName name="ppstandby">'[6]DATA INPUT'!$G$60</definedName>
    <definedName name="Print_Area_MI">#REF!</definedName>
    <definedName name="PRO_NAME">#REF!</definedName>
    <definedName name="PROJECT">#REF!</definedName>
    <definedName name="PROPOSAL_SUMMARY">#REF!</definedName>
    <definedName name="PUSH_BUTTONS">[3]Insts!#REF!</definedName>
    <definedName name="Recorder">#REF!</definedName>
    <definedName name="RESET">#REF!</definedName>
    <definedName name="rev">#REF!</definedName>
    <definedName name="REVISION">#REF!</definedName>
    <definedName name="SDASDAD">#REF!</definedName>
    <definedName name="sds">#REF!</definedName>
    <definedName name="SF4201totkvar">#REF!</definedName>
    <definedName name="SF4201totkW">#REF!</definedName>
    <definedName name="Sheet1">#REF!</definedName>
    <definedName name="Sheet2">'[10]Electrical Load List'!#REF!</definedName>
    <definedName name="Sheet3">'[10]Electrical Load List'!#REF!</definedName>
    <definedName name="Sheet4">'[10]Electrical Load List'!#REF!</definedName>
    <definedName name="Sheet5">'[10]Electrical Load List'!#REF!</definedName>
    <definedName name="Sheet6">'[10]Electrical Load List'!#REF!</definedName>
    <definedName name="sigle">#REF!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TAN">#REF!</definedName>
    <definedName name="standby">'[6]DATA INPUT'!$G$50</definedName>
    <definedName name="Status">#REF!</definedName>
    <definedName name="SUBHEADER">#REF!</definedName>
    <definedName name="SWITCHGEAR_MCC">[3]Insts!#REF!</definedName>
    <definedName name="SYSTEM">#REF!</definedName>
    <definedName name="T900_949">#N/A</definedName>
    <definedName name="tbl_Temp">#REF!</definedName>
    <definedName name="TEMP">#REF!</definedName>
    <definedName name="TEST">[2]KP1590_E!#REF!</definedName>
    <definedName name="TITLE">#REF!</definedName>
    <definedName name="titre1">#REF!</definedName>
    <definedName name="titre2">#REF!</definedName>
    <definedName name="titreb">#REF!</definedName>
    <definedName name="titreb1">#REF!</definedName>
    <definedName name="titreb2">[8]Alternator!#REF!</definedName>
    <definedName name="TopsideAirCompr">#REF!</definedName>
    <definedName name="topsideaircomprkvar">#REF!</definedName>
    <definedName name="TopsideAirComprkw">#REF!</definedName>
    <definedName name="Topsideairdryer">#REF!</definedName>
    <definedName name="TOTAL1">#N/A</definedName>
    <definedName name="TOTAL2">#N/A</definedName>
    <definedName name="TotalkWEMMCCSf4201">#REF!</definedName>
    <definedName name="TotEmNO">#REF!</definedName>
    <definedName name="TotEmNOvar">#REF!</definedName>
    <definedName name="TRAYS_CABLE">[3]Insts!#REF!</definedName>
    <definedName name="V">#REF!</definedName>
    <definedName name="wirilight">'[5]PRICE-COMP'!#REF!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W">[11]Alternator!#REF!</definedName>
    <definedName name="WWW">[11]Alternator!#REF!</definedName>
    <definedName name="WWWW">[11]Alternator!#REF!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<sst xmlns="http://schemas.openxmlformats.org/spreadsheetml/2006/main" count="534" uniqueCount="132">
  <si>
    <t>LN1</t>
  </si>
  <si>
    <t>LN</t>
  </si>
  <si>
    <r>
      <rPr>
        <sz val="11"/>
        <rFont val="宋体"/>
        <charset val="134"/>
        <scheme val="minor"/>
      </rPr>
      <t xml:space="preserve">Quantity
</t>
    </r>
    <r>
      <rPr>
        <b/>
        <sz val="11"/>
        <rFont val="宋体"/>
        <charset val="134"/>
        <scheme val="minor"/>
      </rPr>
      <t>(For Seatrium Input Only)</t>
    </r>
  </si>
  <si>
    <t>Unit</t>
  </si>
  <si>
    <t>m</t>
  </si>
  <si>
    <t>Description</t>
  </si>
  <si>
    <t>名称</t>
  </si>
  <si>
    <t>外径</t>
  </si>
  <si>
    <t>壁厚</t>
  </si>
  <si>
    <t>压力</t>
  </si>
  <si>
    <t>标准</t>
  </si>
  <si>
    <t>材质</t>
  </si>
  <si>
    <t>备注</t>
  </si>
  <si>
    <t>Certification Requirement</t>
  </si>
  <si>
    <t xml:space="preserve">QTY </t>
  </si>
  <si>
    <t>UOM</t>
  </si>
  <si>
    <t>单价</t>
  </si>
  <si>
    <t>总价</t>
  </si>
  <si>
    <t>报价单价</t>
  </si>
  <si>
    <t>报价总价</t>
  </si>
  <si>
    <t>报价美元单价</t>
  </si>
  <si>
    <t>报价美元总价</t>
  </si>
  <si>
    <t>pcs</t>
  </si>
  <si>
    <t>3" x WT=4.0mm Cap, EN 10253-2, Type B, BE, P265NL to EN 10253-2</t>
  </si>
  <si>
    <t>管帽（Cap）</t>
  </si>
  <si>
    <t>3"</t>
  </si>
  <si>
    <t>4.0mm</t>
  </si>
  <si>
    <t>EN 10253-2</t>
  </si>
  <si>
    <t>P265NL（符合 EN 10253-2 标准，碳素结构钢）</t>
  </si>
  <si>
    <r>
      <rPr>
        <sz val="12"/>
        <color rgb="FF000000"/>
        <rFont val="宋体"/>
        <charset val="134"/>
      </rPr>
      <t>类型</t>
    </r>
    <r>
      <rPr>
        <sz val="12"/>
        <color rgb="FF000000"/>
        <rFont val="Segoe UI"/>
        <charset val="134"/>
      </rPr>
      <t xml:space="preserve"> Type B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BE</t>
    </r>
    <r>
      <rPr>
        <sz val="12"/>
        <color rgb="FF000000"/>
        <rFont val="宋体"/>
        <charset val="134"/>
      </rPr>
      <t>；</t>
    </r>
  </si>
  <si>
    <t>3.1+PED</t>
  </si>
  <si>
    <t>2" x WT=3.6mm 45  Deg. Elbow 3D, EN 10253-2, Type B, BE, P265NL to EN 10253-2</t>
  </si>
  <si>
    <t>45 度弯头（45 Deg. Elbow）</t>
  </si>
  <si>
    <t>2"</t>
  </si>
  <si>
    <t>3.6mm</t>
  </si>
  <si>
    <t>弯曲半径 3D；类型 Type B；BE</t>
  </si>
  <si>
    <t>3" x WT=4.0mm 45  Deg. Elbow 3D, EN 10253-2, Type B, BE, P265NL to EN 10253-2</t>
  </si>
  <si>
    <t>4" x WT=4.5mm 45  Deg. Elbow 3D, EN 10253-2, Type B, BE, P265NL to EN 10253-2</t>
  </si>
  <si>
    <t>4"</t>
  </si>
  <si>
    <t>4.5mm</t>
  </si>
  <si>
    <t>1.5" x WT=3.6mm 90  Deg. Elbow 3D, EN 10253-2, Type B, BE, P265NL to EN 10253-2</t>
  </si>
  <si>
    <t>90 度弯头（90 Deg. Elbow）</t>
  </si>
  <si>
    <t>1.5"</t>
  </si>
  <si>
    <t>2" x WT=3.6mm 90  Deg. Elbow 3D, EN 10253-2, Type B, BE, P265NL to EN 10253-2</t>
  </si>
  <si>
    <t>3" x WT=4.0mm 90  Deg. Elbow 3D, EN 10253-2, Type B, BE, P265NL to EN 10253-2</t>
  </si>
  <si>
    <t>4" x WT=4.5mm 90  Deg. Elbow 3D, EN 10253-2, Type B, BE, P265NL to EN 10253-2</t>
  </si>
  <si>
    <t>1.5" x WT=3.6mm 90  Deg. Elbow 5D, EN 10253-2, Type B, BE, P265NL to EN 10253-2</t>
  </si>
  <si>
    <r>
      <rPr>
        <sz val="12"/>
        <color rgb="FF000000"/>
        <rFont val="宋体"/>
        <charset val="134"/>
      </rPr>
      <t>弯曲半径</t>
    </r>
    <r>
      <rPr>
        <sz val="12"/>
        <color rgb="FF000000"/>
        <rFont val="Segoe UI"/>
        <charset val="134"/>
      </rPr>
      <t xml:space="preserve"> 5D</t>
    </r>
    <r>
      <rPr>
        <sz val="12"/>
        <color rgb="FF000000"/>
        <rFont val="宋体"/>
        <charset val="134"/>
      </rPr>
      <t>；类型</t>
    </r>
    <r>
      <rPr>
        <sz val="12"/>
        <color rgb="FF000000"/>
        <rFont val="Segoe UI"/>
        <charset val="134"/>
      </rPr>
      <t xml:space="preserve"> Type B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BE</t>
    </r>
    <r>
      <rPr>
        <sz val="12"/>
        <color rgb="FF000000"/>
        <rFont val="宋体"/>
        <charset val="134"/>
      </rPr>
      <t>，</t>
    </r>
  </si>
  <si>
    <t>2" Blind Flg., Manf. Std. to EN 1092-1, PN16, RFFE, P285NH to EN 10222-4</t>
  </si>
  <si>
    <t>盲板法兰（Blind Flange）</t>
  </si>
  <si>
    <r>
      <rPr>
        <sz val="12"/>
        <color rgb="FF000000"/>
        <rFont val="Segoe UI"/>
        <charset val="134"/>
      </rPr>
      <t>PN16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Segoe UI"/>
        <charset val="134"/>
      </rPr>
      <t>1.6MPa</t>
    </r>
    <r>
      <rPr>
        <sz val="12"/>
        <color rgb="FF000000"/>
        <rFont val="宋体"/>
        <charset val="134"/>
      </rPr>
      <t>）</t>
    </r>
  </si>
  <si>
    <t>制造商标准（符合 EN 1092-1）</t>
  </si>
  <si>
    <t>P285NH（符合 EN 10222-4 标准，高温用碳素结构钢）</t>
  </si>
  <si>
    <r>
      <rPr>
        <sz val="12"/>
        <color rgb="FF000000"/>
        <rFont val="宋体"/>
        <charset val="134"/>
      </rPr>
      <t>密封面形式</t>
    </r>
    <r>
      <rPr>
        <sz val="12"/>
        <color rgb="FF000000"/>
        <rFont val="Segoe UI"/>
        <charset val="134"/>
      </rPr>
      <t xml:space="preserve"> RFFE</t>
    </r>
    <r>
      <rPr>
        <sz val="12"/>
        <color rgb="FF000000"/>
        <rFont val="宋体"/>
        <charset val="134"/>
      </rPr>
      <t>（凸面全平面）</t>
    </r>
  </si>
  <si>
    <t>4" x 2" x WT=4.5mm x WT=3.6mm Ecc. Reducer, EN 10253-2, Type B, BE, P265NL to EN 10253-2</t>
  </si>
  <si>
    <t>偏心异径管（Ecc. Reducer）</t>
  </si>
  <si>
    <t>4"×2"</t>
  </si>
  <si>
    <t>4.5mm×3.6mm</t>
  </si>
  <si>
    <t>类型 Type B；BE；</t>
  </si>
  <si>
    <t>0.75" x 0.5" x WT=2.6mm x WT=2.6mm Con. Reducer, EN 10253-2, Type B, BE, P265NL to EN 10253-2</t>
  </si>
  <si>
    <t>同心异径管（Con. Reducer）</t>
  </si>
  <si>
    <t>0.75"×0.5"</t>
  </si>
  <si>
    <t>2.6mm×2.6mm</t>
  </si>
  <si>
    <t>1.5" x 0.75" x WT=3.6mm x WT=2.6mm Con. Reducer, EN 10253-2, Type B, BE, P265NL to EN 10253-2</t>
  </si>
  <si>
    <t>1.5"×0.75"</t>
  </si>
  <si>
    <t>3.6mm×2.6mm</t>
  </si>
  <si>
    <t>3" x 2" x WT=4.0mm x WT=3.6mm Con. Reducer, EN 10253-2, Type B, BE, P265NL to EN 10253-2</t>
  </si>
  <si>
    <t>3"×2"</t>
  </si>
  <si>
    <t>4.0mm×3.6mm</t>
  </si>
  <si>
    <t>2" x WT=3.6mm Eq. Tee, EN 10253-2, Type B, BE, P265NL to EN 10253-2</t>
  </si>
  <si>
    <t>等径三通（Eq. Tee）</t>
  </si>
  <si>
    <t>3" x WT=4.0mm Eq. Tee, EN 10253-2, Type B, BE, P265NL to EN 10253-2</t>
  </si>
  <si>
    <t>4" x WT=4.5mm Eq. Tee, EN 10253-2, Type B, BE, P265NL to EN 10253-2</t>
  </si>
  <si>
    <t>mm</t>
  </si>
  <si>
    <t>2" x WT=3.6mm Pipe, EN 10220, BE, P265NL to EN 10216-4, SMLS</t>
  </si>
  <si>
    <t>钢管（Pipe）</t>
  </si>
  <si>
    <t>EN 10220、EN 10216-4</t>
  </si>
  <si>
    <t>P265NL（符合 EN 10216-4 标准，碳素结构钢）</t>
  </si>
  <si>
    <t>BE；无缝；</t>
  </si>
  <si>
    <t>LG</t>
  </si>
  <si>
    <t>3" x WT=4.0mm Pipe, EN 10220, BE, P265NL to EN 10216-4, SMLS</t>
  </si>
  <si>
    <t>4" x WT=4.5mm Pipe, EN 10220, BE, P265NL to EN 10216-4, SMLS</t>
  </si>
  <si>
    <t>1.5" x WT=3.6mm Pipe, EN 10220, PE, P265NL to EN 10216-4, SMLS</t>
  </si>
  <si>
    <t>PE；无缝；</t>
  </si>
  <si>
    <t>2" x 1.5" x WT=3.6mm x WT=3.6mm Red. Tee, EN 10253-2, Type B, BE, P265NL to EN 10253-2</t>
  </si>
  <si>
    <t>异径三通（Red. Tee）</t>
  </si>
  <si>
    <t>2"×1.5"</t>
  </si>
  <si>
    <t>3.6mm×3.6mm</t>
  </si>
  <si>
    <t>3" x 1.5" x WT=4.0mm x WT=3.6mm Red. Tee, EN 10253-2, Type B, BE, P265NL to EN 10253-2</t>
  </si>
  <si>
    <t>3"×1.5"</t>
  </si>
  <si>
    <t>1" Nipple Hexagonal, B16.11, CL 3000, TBE, P285NH to EN 10222-4</t>
  </si>
  <si>
    <t>六角接头（Nipple Hexagonal）</t>
  </si>
  <si>
    <t>1"</t>
  </si>
  <si>
    <t xml:space="preserve">CLASS 3000  </t>
  </si>
  <si>
    <t>B16.11、EN 10222-4</t>
  </si>
  <si>
    <t>P285NH（符合 EN 10222-4 标准，高温用碳素钢）</t>
  </si>
  <si>
    <r>
      <rPr>
        <sz val="12"/>
        <color rgb="FF000000"/>
        <rFont val="宋体"/>
        <charset val="134"/>
      </rPr>
      <t>连接形式</t>
    </r>
    <r>
      <rPr>
        <sz val="12"/>
        <color rgb="FF000000"/>
        <rFont val="Segoe UI"/>
        <charset val="134"/>
      </rPr>
      <t xml:space="preserve"> TBE</t>
    </r>
    <r>
      <rPr>
        <sz val="12"/>
        <color rgb="FF000000"/>
        <rFont val="宋体"/>
        <charset val="134"/>
      </rPr>
      <t>（外螺纹端）；</t>
    </r>
  </si>
  <si>
    <t>2" x WT=3.6mm WN Flg., EN 1092-1, PN16, RFFE, P285NH to EN 10222-4</t>
  </si>
  <si>
    <t>对焊法兰（WN Flg.）</t>
  </si>
  <si>
    <t>PN16（1.6MPa）</t>
  </si>
  <si>
    <t>EN 1092-1、EN 10222-4</t>
  </si>
  <si>
    <t>密封面形式 RFFE（凸面全平面）；</t>
  </si>
  <si>
    <t>3" x WT=4.0mm WN Flg., EN 1092-1, PN16, RFFE, P285NH to EN 10222-4</t>
  </si>
  <si>
    <t>4" x WT=4.5mm WN Flg., EN 1092-1, PN16, RFFE, P285NH to EN 10222-4</t>
  </si>
  <si>
    <t>0.5" x WT=2.6mm WN Flg., EN 1092-1, PN40, RFFE, P285NH to EN 10222-4</t>
  </si>
  <si>
    <t>0.5"</t>
  </si>
  <si>
    <t>2.6mm</t>
  </si>
  <si>
    <t>PN40（4.0MPa）</t>
  </si>
  <si>
    <t>1.5" x WT=3.6mm WN Flg., EN 1092-1, PN40, RFFE, P285NH to EN 10222-4</t>
  </si>
  <si>
    <t>1" Half Cplg., B16.11, CL 3000, FTE (NPT), P285NH to EN 10222-4</t>
  </si>
  <si>
    <t>半管箍（Half Cplg.）</t>
  </si>
  <si>
    <r>
      <rPr>
        <sz val="12"/>
        <color rgb="FF000000"/>
        <rFont val="宋体"/>
        <charset val="134"/>
      </rPr>
      <t>连接形式</t>
    </r>
    <r>
      <rPr>
        <sz val="12"/>
        <color rgb="FF000000"/>
        <rFont val="Segoe UI"/>
        <charset val="134"/>
      </rPr>
      <t xml:space="preserve"> FTE</t>
    </r>
    <r>
      <rPr>
        <sz val="12"/>
        <color rgb="FF000000"/>
        <rFont val="宋体"/>
        <charset val="134"/>
      </rPr>
      <t>（内螺纹端）；螺纹类型</t>
    </r>
    <r>
      <rPr>
        <sz val="12"/>
        <color rgb="FF000000"/>
        <rFont val="Segoe UI"/>
        <charset val="134"/>
      </rPr>
      <t xml:space="preserve"> NPT</t>
    </r>
    <r>
      <rPr>
        <sz val="12"/>
        <color rgb="FF000000"/>
        <rFont val="宋体"/>
        <charset val="134"/>
      </rPr>
      <t>（锥管螺纹）；</t>
    </r>
  </si>
  <si>
    <t>1.5" x 0.5" Red. Thd. Flg., Manf. Std. to EN 1092-1, PN40, RF x FTE (NPTF), P285NH to EN 10222-4</t>
  </si>
  <si>
    <t>异径螺纹法兰（Red. Thd. Flg.）</t>
  </si>
  <si>
    <t>1.5"×0.5"</t>
  </si>
  <si>
    <t>制造商标准（符合 EN 1092-1）、EN 10222-4</t>
  </si>
  <si>
    <r>
      <rPr>
        <sz val="12"/>
        <color rgb="FF000000"/>
        <rFont val="宋体"/>
        <charset val="134"/>
      </rPr>
      <t>连接形式</t>
    </r>
    <r>
      <rPr>
        <sz val="12"/>
        <color rgb="FF000000"/>
        <rFont val="Segoe UI"/>
        <charset val="134"/>
      </rPr>
      <t xml:space="preserve"> RF</t>
    </r>
    <r>
      <rPr>
        <sz val="12"/>
        <color rgb="FF000000"/>
        <rFont val="宋体"/>
        <charset val="134"/>
      </rPr>
      <t>（凸面）</t>
    </r>
    <r>
      <rPr>
        <sz val="12"/>
        <color rgb="FF000000"/>
        <rFont val="Segoe UI"/>
        <charset val="134"/>
      </rPr>
      <t>×FTE</t>
    </r>
    <r>
      <rPr>
        <sz val="12"/>
        <color rgb="FF000000"/>
        <rFont val="宋体"/>
        <charset val="134"/>
      </rPr>
      <t>（内螺纹端）；螺纹类型</t>
    </r>
    <r>
      <rPr>
        <sz val="12"/>
        <color rgb="FF000000"/>
        <rFont val="Segoe UI"/>
        <charset val="134"/>
      </rPr>
      <t xml:space="preserve"> NPTF</t>
    </r>
    <r>
      <rPr>
        <sz val="12"/>
        <color rgb="FF000000"/>
        <rFont val="宋体"/>
        <charset val="134"/>
      </rPr>
      <t>；</t>
    </r>
  </si>
  <si>
    <t>pc</t>
  </si>
  <si>
    <t>P265NL（符合 EN 10253-2 标准，常温用碳素钢）</t>
  </si>
  <si>
    <t>弯曲半径 3D；类型 Type B；BE；</t>
  </si>
  <si>
    <t>3.1+ CE/PED</t>
  </si>
  <si>
    <t>P265NL（符合 EN 10216-4 标准，常温用碳素钢）</t>
  </si>
  <si>
    <r>
      <rPr>
        <sz val="12"/>
        <color rgb="FF000000"/>
        <rFont val="Segoe UI"/>
        <charset val="134"/>
      </rPr>
      <t>BE</t>
    </r>
    <r>
      <rPr>
        <sz val="12"/>
        <color rgb="FF000000"/>
        <rFont val="宋体"/>
        <charset val="134"/>
      </rPr>
      <t>；工艺</t>
    </r>
    <r>
      <rPr>
        <sz val="12"/>
        <color rgb="FF000000"/>
        <rFont val="Segoe UI"/>
        <charset val="134"/>
      </rPr>
      <t xml:space="preserve"> SMLS</t>
    </r>
    <r>
      <rPr>
        <sz val="12"/>
        <color rgb="FF000000"/>
        <rFont val="宋体"/>
        <charset val="134"/>
      </rPr>
      <t>（无缝）；</t>
    </r>
  </si>
  <si>
    <r>
      <rPr>
        <sz val="12"/>
        <color rgb="FF000000"/>
        <rFont val="宋体"/>
        <charset val="134"/>
      </rPr>
      <t>密封面形式</t>
    </r>
    <r>
      <rPr>
        <sz val="12"/>
        <color rgb="FF000000"/>
        <rFont val="Segoe UI"/>
        <charset val="134"/>
      </rPr>
      <t xml:space="preserve"> RFFE</t>
    </r>
    <r>
      <rPr>
        <sz val="12"/>
        <color rgb="FF000000"/>
        <rFont val="宋体"/>
        <charset val="134"/>
      </rPr>
      <t>（凸面全平面）；</t>
    </r>
  </si>
  <si>
    <r>
      <rPr>
        <sz val="12"/>
        <color rgb="FF000000"/>
        <rFont val="宋体"/>
        <charset val="134"/>
      </rPr>
      <t>连接形式</t>
    </r>
    <r>
      <rPr>
        <sz val="12"/>
        <color rgb="FF000000"/>
        <rFont val="Segoe UI"/>
        <charset val="134"/>
      </rPr>
      <t xml:space="preserve"> FTE</t>
    </r>
    <r>
      <rPr>
        <sz val="12"/>
        <color rgb="FF000000"/>
        <rFont val="宋体"/>
        <charset val="134"/>
      </rPr>
      <t>（内螺纹端）；螺纹类型</t>
    </r>
    <r>
      <rPr>
        <sz val="12"/>
        <color rgb="FF000000"/>
        <rFont val="Segoe UI"/>
        <charset val="134"/>
      </rPr>
      <t xml:space="preserve"> NPT</t>
    </r>
    <r>
      <rPr>
        <sz val="12"/>
        <color rgb="FF000000"/>
        <rFont val="宋体"/>
        <charset val="134"/>
      </rPr>
      <t>；</t>
    </r>
  </si>
  <si>
    <r>
      <rPr>
        <sz val="12"/>
        <color rgb="FF000000"/>
        <rFont val="宋体"/>
        <charset val="134"/>
      </rPr>
      <t>连接形式</t>
    </r>
    <r>
      <rPr>
        <sz val="12"/>
        <color rgb="FF000000"/>
        <rFont val="Segoe UI"/>
        <charset val="134"/>
      </rPr>
      <t xml:space="preserve"> RF×FTE</t>
    </r>
    <r>
      <rPr>
        <sz val="12"/>
        <color rgb="FF000000"/>
        <rFont val="宋体"/>
        <charset val="134"/>
      </rPr>
      <t>（内螺纹端）；螺纹类型</t>
    </r>
    <r>
      <rPr>
        <sz val="12"/>
        <color rgb="FF000000"/>
        <rFont val="Segoe UI"/>
        <charset val="134"/>
      </rPr>
      <t xml:space="preserve"> NPTF</t>
    </r>
    <r>
      <rPr>
        <sz val="12"/>
        <color rgb="FF000000"/>
        <rFont val="宋体"/>
        <charset val="134"/>
      </rPr>
      <t>；</t>
    </r>
  </si>
  <si>
    <t>弯曲半径 3D；类型 Type B；连接形式 BE；</t>
  </si>
  <si>
    <t>密封面形式 RFFE；</t>
  </si>
  <si>
    <r>
      <rPr>
        <sz val="12"/>
        <color rgb="FF000000"/>
        <rFont val="宋体"/>
        <charset val="134"/>
      </rPr>
      <t>连接形式</t>
    </r>
    <r>
      <rPr>
        <sz val="12"/>
        <color rgb="FF000000"/>
        <rFont val="Segoe UI"/>
        <charset val="134"/>
      </rPr>
      <t xml:space="preserve"> RF×FTE</t>
    </r>
    <r>
      <rPr>
        <sz val="12"/>
        <color rgb="FF000000"/>
        <rFont val="宋体"/>
        <charset val="134"/>
      </rPr>
      <t>（内螺纹端）；螺纹类型</t>
    </r>
    <r>
      <rPr>
        <sz val="12"/>
        <color rgb="FF000000"/>
        <rFont val="Segoe UI"/>
        <charset val="134"/>
      </rPr>
      <t xml:space="preserve"> NPTF</t>
    </r>
  </si>
  <si>
    <t>Cost</t>
  </si>
  <si>
    <t>钢管单支长度按照6米</t>
  </si>
  <si>
    <t xml:space="preserve">含税出厂交期30
2025/10/20
李宁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</si>
</sst>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00000"/>
      <name val="Segoe UI"/>
      <charset val="134"/>
    </font>
    <font>
      <sz val="11"/>
      <color theme="1"/>
      <name val="微软雅黑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wrapText="1"/>
    </xf>
    <xf numFmtId="0" fontId="3" fillId="0" borderId="0" xfId="0" applyFont="1"/>
    <xf numFmtId="0" fontId="0" fillId="4" borderId="2" xfId="0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/>
    </xf>
    <xf numFmtId="43" fontId="0" fillId="0" borderId="1" xfId="0" applyNumberFormat="1" applyBorder="1"/>
    <xf numFmtId="43" fontId="1" fillId="0" borderId="1" xfId="0" applyNumberFormat="1" applyFont="1" applyBorder="1"/>
    <xf numFmtId="43" fontId="1" fillId="0" borderId="1" xfId="0" applyNumberFormat="1" applyFont="1" applyBorder="1" applyAlignment="1">
      <alignment horizontal="center" vertical="center"/>
    </xf>
    <xf numFmtId="4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8274\Bk1Inst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9245\245BO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8258\materialcom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\epp.agipkco.com\SHEARWTR\MECHANIC\MAINGEN\DATASHT\DS01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8269\269Qt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-server\data2\data\OilGas\OGPA070129\Disciplines\Electrical\Project%20Den%20Helder%20DRF\55000-Project%20list\55300%20Loadlist\Rev1\070129-LS-E5000%20(LOAD%20LIST-DRF)Rev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dc02\projects\BHP%20180279\Electrical\Load%20Schedule\BHPLoadScheduleRev1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I-163\ELECTRICAL\1483B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99240\240BOQ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\keppelgroup-my.sharepoint.com\ARNE\ENG\MEC\ENQUIRY\MC22AVFU\DATA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jfiler6\JI-186\JI-163\ELECTRICAL\1483BA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"/>
      <sheetName val="BP"/>
      <sheetName val="Chart1"/>
      <sheetName val="Dmdsch"/>
      <sheetName val="Consumables"/>
      <sheetName val="Calibration"/>
      <sheetName val="Unit Rate"/>
    </sheetNames>
    <sheetDataSet>
      <sheetData sheetId="0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sic"/>
      <sheetName val="KP1590_E"/>
      <sheetName val="Consumables"/>
      <sheetName val="index"/>
      <sheetName val="Compare"/>
      <sheetName val="COST SUMMARY"/>
      <sheetName val="Histogram"/>
      <sheetName val="Dmdsch"/>
      <sheetName val="Org-chart"/>
      <sheetName val="Indirect"/>
      <sheetName val="Consequip"/>
      <sheetName val="Calibration"/>
      <sheetName val="Bar Chart"/>
      <sheetName val="CSTANLS "/>
      <sheetName val="case"/>
      <sheetName val="Ref.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s"/>
      <sheetName val="Hardware"/>
      <sheetName val="Fire"/>
      <sheetName val="Breather"/>
      <sheetName val="Summa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RONT SHT "/>
      <sheetName val="PCKGE SCPE"/>
      <sheetName val="PCKGE NTS"/>
      <sheetName val="GT DATA SHTS"/>
      <sheetName val="INST SCHEDULE"/>
      <sheetName val="PKGINST"/>
      <sheetName val="GEAR DATA SHT"/>
      <sheetName val="OIL SYST DATA SHTS"/>
      <sheetName val="Electrical Load List"/>
      <sheetName val="Insts"/>
      <sheetName val="LV induction motors"/>
      <sheetName val="Air Cooler-E"/>
      <sheetName val="BQ List"/>
      <sheetName val="FRONT_SHT_"/>
      <sheetName val="FRONT_SHT_1"/>
      <sheetName val="io-summary"/>
      <sheetName val="DS015"/>
      <sheetName val="FRONT_SHT_2"/>
      <sheetName val="4.TANK Farm"/>
      <sheetName val="DSLP"/>
      <sheetName val="MOTOR"/>
      <sheetName val="FIRED HEATER Sh. 1"/>
      <sheetName val="Alternator"/>
      <sheetName val="FRONT_SHT_3"/>
      <sheetName val="PCKGE_SCPE"/>
      <sheetName val="PCKGE_NTS"/>
      <sheetName val="GT_DATA_SHTS"/>
      <sheetName val="INST_SCHEDULE"/>
      <sheetName val="GEAR_DATA_SHT"/>
      <sheetName val="OIL_SYST_DATA_SHTS"/>
      <sheetName val="Electrical_Load_List"/>
      <sheetName val="BQ_List"/>
      <sheetName val="LV_induction_motors"/>
      <sheetName val="Air_Cooler-E"/>
      <sheetName val="FRONT_SHT_4"/>
      <sheetName val="PCKGE_SCPE1"/>
      <sheetName val="PCKGE_NTS1"/>
      <sheetName val="GT_DATA_SHTS1"/>
      <sheetName val="INST_SCHEDULE1"/>
      <sheetName val="GEAR_DATA_SHT1"/>
      <sheetName val="OIL_SYST_DATA_SHTS1"/>
      <sheetName val="Electrical_Load_List1"/>
      <sheetName val="BQ_List1"/>
      <sheetName val="LV_induction_motors1"/>
      <sheetName val="Air_Cooler-E1"/>
      <sheetName val="Data Validation"/>
      <sheetName val="costing_CV"/>
      <sheetName val="FIRED_HEATER_Sh__1"/>
      <sheetName val="Utlity"/>
      <sheetName val="cable"/>
      <sheetName val="CIS"/>
      <sheetName val="7000 L1"/>
      <sheetName val="Request"/>
      <sheetName val="3000"/>
      <sheetName val="6000"/>
      <sheetName val="8000"/>
      <sheetName val="8500"/>
      <sheetName val="Mgmt"/>
      <sheetName val="4000"/>
      <sheetName val="JB LIST"/>
      <sheetName val="JB-Unique_Ref"/>
      <sheetName val="DB Extract_2010_04_21_(all)_Ref"/>
      <sheetName val="DB Extract_2010_04_11_Ref"/>
      <sheetName val="음료실행"/>
      <sheetName val="Detail In Door Stad"/>
      <sheetName val="Intro"/>
      <sheetName val="COVER"/>
      <sheetName val="Page 1"/>
      <sheetName val="LP"/>
      <sheetName val="Data"/>
      <sheetName val="FT-05-02IsoBOM"/>
      <sheetName val="4_TANK_Farm"/>
      <sheetName val="SDRL"/>
      <sheetName val="Sheet1"/>
      <sheetName val="Notes"/>
      <sheetName val="DataValidation"/>
      <sheetName val="Notes &amp; Info"/>
      <sheetName val="App_B1_Unit_rates_lm_sqm"/>
      <sheetName val="Library"/>
      <sheetName val="Codes"/>
      <sheetName val="OIL_SYST_DATA_SHTS2"/>
      <sheetName val="Data_Validation1"/>
      <sheetName val="Notes_&amp;_Info1"/>
      <sheetName val="Data_Validation"/>
      <sheetName val="Notes_&amp;_Info"/>
      <sheetName val="OIL_SYST_DATA_SHTS3"/>
      <sheetName val="PCKGE_SCPE2"/>
      <sheetName val="PCKGE_NTS2"/>
      <sheetName val="GT_DATA_SHTS2"/>
      <sheetName val="INST_SCHEDULE2"/>
      <sheetName val="GEAR_DATA_SHT2"/>
      <sheetName val="Data_Validation2"/>
      <sheetName val="Notes_&amp;_Info2"/>
      <sheetName val="OIL_SYST_DATA_SHTS5"/>
      <sheetName val="PCKGE_SCPE4"/>
      <sheetName val="PCKGE_NTS4"/>
      <sheetName val="GT_DATA_SHTS4"/>
      <sheetName val="INST_SCHEDULE4"/>
      <sheetName val="GEAR_DATA_SHT4"/>
      <sheetName val="Data_Validation4"/>
      <sheetName val="Notes_&amp;_Info4"/>
      <sheetName val="OIL_SYST_DATA_SHTS4"/>
      <sheetName val="PCKGE_SCPE3"/>
      <sheetName val="PCKGE_NTS3"/>
      <sheetName val="GT_DATA_SHTS3"/>
      <sheetName val="INST_SCHEDULE3"/>
      <sheetName val="GEAR_DATA_SHT3"/>
      <sheetName val="Data_Validation3"/>
      <sheetName val="Notes_&amp;_Info3"/>
      <sheetName val="Notes &amp; Information"/>
      <sheetName val="간접비내역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reakdown"/>
      <sheetName val="Dmdsch"/>
      <sheetName val="BOQ"/>
      <sheetName val="JB"/>
      <sheetName val="Cable"/>
      <sheetName val="MATAKOF"/>
      <sheetName val="PRICE-COMP"/>
      <sheetName val="COST SUMMARY"/>
      <sheetName val="Fittings"/>
      <sheetName val="Bar Chart"/>
      <sheetName val="IOList"/>
      <sheetName val="Config-1"/>
      <sheetName val="Config-2"/>
      <sheetName val="DCS"/>
      <sheetName val="Calib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TA INPUT"/>
      <sheetName val="COVER SHEET"/>
      <sheetName val="Total"/>
      <sheetName val="400 V board 1A"/>
      <sheetName val="400 V board 1B"/>
      <sheetName val="400 V board 1C"/>
      <sheetName val="UPS board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OVER_SHT"/>
      <sheetName val="NOTES"/>
      <sheetName val="Data for Access"/>
      <sheetName val="AlphaNumeric1"/>
      <sheetName val="XFRMRS"/>
      <sheetName val="910-EH-03"/>
      <sheetName val="920-EP-31"/>
      <sheetName val="920-EM-31(1)"/>
      <sheetName val="920-EM-31 (2)"/>
      <sheetName val="920-EP-32"/>
      <sheetName val="920-EM-32"/>
      <sheetName val="480-EP-31"/>
      <sheetName val="360-EM-31A"/>
      <sheetName val="360-EM-31B"/>
      <sheetName val="920-EL-31A"/>
      <sheetName val="920-EL-31B"/>
      <sheetName val="920-EL-32A"/>
      <sheetName val="920-EL-32B"/>
      <sheetName val="470-EM-31A"/>
      <sheetName val="470-EM-31B"/>
      <sheetName val="900-EK-31"/>
      <sheetName val="920-ED-32"/>
      <sheetName val="360-ED-31A"/>
      <sheetName val="360-ED-31B"/>
      <sheetName val="470-ED-31A"/>
      <sheetName val="470-ED-31B"/>
      <sheetName val="Internal"/>
      <sheetName val="OIL SYST DATA SHTS"/>
      <sheetName val="Data_for_Access"/>
      <sheetName val="920-EM-31_(2)"/>
      <sheetName val="OIL_SYST_DATA_SHTS"/>
      <sheetName val="Data_for_Access1"/>
      <sheetName val="920-EM-31_(2)1"/>
      <sheetName val="OIL_SYST_DATA_SHTS1"/>
      <sheetName val="Data_for_Access2"/>
      <sheetName val="920-EM-31_(2)2"/>
      <sheetName val="OIL_SYST_DATA_SHTS2"/>
      <sheetName val="51-PSV8008L"/>
      <sheetName val="PRICE-COMP"/>
      <sheetName val="CMTD"/>
      <sheetName val="내역"/>
      <sheetName val="eq_data"/>
      <sheetName val="IO per P&amp;ID "/>
      <sheetName val="PLC"/>
      <sheetName val="Summary"/>
      <sheetName val="ITB COST"/>
      <sheetName val="Data_for_Access3"/>
      <sheetName val="920-EM-31_(2)3"/>
      <sheetName val="OIL_SYST_DATA_SHTS3"/>
      <sheetName val="Calculator Rates"/>
      <sheetName val="Data_for_Access4"/>
      <sheetName val="920-EM-31_(2)4"/>
      <sheetName val="OIL_SYST_DATA_SHTS4"/>
      <sheetName val="Data_for_Access5"/>
      <sheetName val="920-EM-31_(2)5"/>
      <sheetName val="OIL_SYST_DATA_SHTS5"/>
      <sheetName val="IO_ASSIGNMENT"/>
      <sheetName val="DRM_LEN"/>
      <sheetName val="DB Extract For Cables_2010_07_1"/>
      <sheetName val="Cable Details_Master"/>
      <sheetName val="적용환율"/>
      <sheetName val="Page 1 - Front Sheet"/>
      <sheetName val="Cab_Commodity Code."/>
      <sheetName val="From Chennai_2010_01_09"/>
      <sheetName val="Cable Details (Ref)"/>
      <sheetName val="Vsl2"/>
      <sheetName val="PCV-048 &amp; TCV-013"/>
      <sheetName val="Input"/>
      <sheetName val="PumpSpec"/>
      <sheetName val="Sheet1"/>
      <sheetName val="Cover"/>
      <sheetName val="Config"/>
      <sheetName val="산정기준"/>
      <sheetName val=""/>
      <sheetName val="E050"/>
      <sheetName val="IO_per_P&amp;ID_"/>
      <sheetName val="ITB_COST"/>
      <sheetName val="Calculator_Rates"/>
      <sheetName val="Data_for_Access6"/>
      <sheetName val="920-EM-31_(2)6"/>
      <sheetName val="OIL_SYST_DATA_SHTS6"/>
      <sheetName val="DB_Extract_For_Cables_2010_07_1"/>
      <sheetName val="Cable_Details_Master"/>
      <sheetName val="Page_1_-_Front_Sheet"/>
      <sheetName val="Cab_Commodity_Code_"/>
      <sheetName val="From_Chennai_2010_01_09"/>
      <sheetName val="Cable_Details_(Ref)"/>
      <sheetName val="PCV-048_&amp;_TCV-013"/>
      <sheetName val="BHPLoadScheduleRev1A"/>
      <sheetName val="Data_for_Access7"/>
      <sheetName val="920-EM-31_(2)7"/>
      <sheetName val="OIL_SYST_DATA_SHTS7"/>
      <sheetName val="ITB_COST1"/>
      <sheetName val="Calculator_Rates1"/>
      <sheetName val="IO_per_P&amp;ID_1"/>
      <sheetName val="DB_Extract_For_Cables_2010_07_2"/>
      <sheetName val="Cable_Details_Master1"/>
      <sheetName val="Page_1_-_Front_Sheet1"/>
      <sheetName val="Cab_Commodity_Code_1"/>
      <sheetName val="From_Chennai_2010_01_091"/>
      <sheetName val="Cable_Details_(Ref)1"/>
      <sheetName val="PCV-048_&amp;_TCV-0131"/>
      <sheetName val="Settings"/>
      <sheetName val="Lists"/>
      <sheetName val="Sheet3"/>
      <sheetName val="Rekap A"/>
      <sheetName val="costing_CV"/>
      <sheetName val="costing_ESDV"/>
      <sheetName val="costing_FE"/>
      <sheetName val="costing_Misc"/>
      <sheetName val="costing_MOV"/>
      <sheetName val="costing_Press"/>
      <sheetName val="Project Details"/>
      <sheetName val="Load List2"/>
      <sheetName val="CostDB"/>
      <sheetName val="CalcRel"/>
      <sheetName val="FR"/>
      <sheetName val="Price Comparison"/>
      <sheetName val="Alternator"/>
      <sheetName val="LV induction motors"/>
      <sheetName val="SHEET-1"/>
      <sheetName val="Comparison"/>
      <sheetName val="KP1590_E"/>
      <sheetName val="Insts"/>
      <sheetName val="pri-com"/>
      <sheetName val="TWO PASS"/>
      <sheetName val="THREE PASS"/>
      <sheetName val="Codes Master"/>
      <sheetName val="Labour"/>
      <sheetName val="Index"/>
      <sheetName val="I. Material &amp; Eqpt"/>
      <sheetName val="REF.ONLY"/>
      <sheetName val="Notes for BOQ"/>
      <sheetName val="6호기"/>
      <sheetName val="SILICATE"/>
      <sheetName val="EC600"/>
      <sheetName val="Coupling"/>
      <sheetName val="Data_for_Access8"/>
      <sheetName val="920-EM-31_(2)8"/>
      <sheetName val="OIL_SYST_DATA_SHTS8"/>
      <sheetName val="ITB_COST2"/>
      <sheetName val="IO_per_P&amp;ID_2"/>
      <sheetName val="Calculator_Rates2"/>
      <sheetName val="DB_Extract_For_Cables_2010_07_3"/>
      <sheetName val="Cable_Details_Master2"/>
      <sheetName val="Page_1_-_Front_Sheet2"/>
      <sheetName val="Cab_Commodity_Code_2"/>
      <sheetName val="From_Chennai_2010_01_092"/>
      <sheetName val="Cable_Details_(Ref)2"/>
      <sheetName val="PCV-048_&amp;_TCV-0132"/>
      <sheetName val="BOM REV_0"/>
      <sheetName val="Sheet2"/>
      <sheetName val="List"/>
      <sheetName val="BOMGROUP LIST"/>
      <sheetName val="Flanges &amp; Fittings"/>
      <sheetName val="BOQ (11517)"/>
      <sheetName val="Properties"/>
      <sheetName val="Cost Center"/>
      <sheetName val="dhamra"/>
      <sheetName val=" CABLE"/>
      <sheetName val="DF"/>
      <sheetName val="Soarin"/>
      <sheetName val="Revised_2_fc4a"/>
      <sheetName val="920-E塅䕃⹌塅E(2)"/>
      <sheetName val="Datas_ref"/>
      <sheetName val="A1_SCHED_SUMMARY"/>
      <sheetName val="bp"/>
      <sheetName val="Design"/>
      <sheetName val="Client Summary Sheet"/>
      <sheetName val="BOQ"/>
      <sheetName val="Estimation"/>
      <sheetName val="Budget"/>
      <sheetName val="Part1-P+Gs"/>
      <sheetName val="Part 2 - Structural"/>
      <sheetName val="Part 3 - Cladding"/>
      <sheetName val="Part 4 -Mech"/>
      <sheetName val="Part 5 - piping"/>
      <sheetName val="part 7 - chutes-dedusting"/>
      <sheetName val="part 8 - thermal insul."/>
      <sheetName val="Units"/>
      <sheetName val="Evaluation Summary"/>
      <sheetName val="ANNEX-1"/>
      <sheetName val="ANNEX-2"/>
      <sheetName val="Onshore Front Sheet"/>
      <sheetName val="Onshore Invoiced_Accruals"/>
      <sheetName val="Onshore VOWD Value Rolled Up"/>
      <sheetName val="Onshore VOWD Rpt - Summary USD"/>
      <sheetName val="Onshore VOWD-MANHOURS"/>
      <sheetName val="Onshore VOWD Rpt - KZT"/>
      <sheetName val="Onshore VOWD Rpt - USD"/>
      <sheetName val="Onshore VOWD Rpt - GBP"/>
      <sheetName val="Onshore VOWD Rpt - Euro"/>
      <sheetName val="Suppl.RIE Phasing"/>
      <sheetName val="Onshore Variance vs Plan 2019"/>
      <sheetName val="HW July'19"/>
      <sheetName val="TCO 2019 Plan"/>
      <sheetName val="CCT backup"/>
      <sheetName val="KCOI Rossetti back-up"/>
      <sheetName val="WIPRO"/>
      <sheetName val="Suppl.PM-4"/>
      <sheetName val="Vendor Reps Tengiz Backup"/>
      <sheetName val="PAS_HVAC_UPS Suppl."/>
      <sheetName val="Bertling"/>
      <sheetName val="Vendor Reps KCOI Backup"/>
      <sheetName val="Vendor Reps CCT Back-up"/>
      <sheetName val="Notes_for_BOQ"/>
      <sheetName val="Cover Sheet"/>
      <sheetName val="Page 3"/>
      <sheetName val="Page 2"/>
      <sheetName val="Report"/>
      <sheetName val="EST-013"/>
      <sheetName val="Centrifugal pump"/>
      <sheetName val="Pump"/>
      <sheetName val="PREL"/>
      <sheetName val="All Expats-jul cost"/>
      <sheetName val="R30.500"/>
      <sheetName val="T10.0"/>
      <sheetName val="KLHT"/>
      <sheetName val="SpreadRates"/>
      <sheetName val="Quantity"/>
      <sheetName val="Total Material"/>
      <sheetName val="Flanges_&amp;_Fittings"/>
      <sheetName val="BOQ_(11517)"/>
      <sheetName val="Client_Summary_Sheet"/>
      <sheetName val="Rekap_A"/>
      <sheetName val="Project_Details"/>
      <sheetName val="Load_List2"/>
      <sheetName val="Price_Comparison"/>
      <sheetName val="LV_induction_motors"/>
      <sheetName val="TWO_PASS"/>
      <sheetName val="THREE_PASS"/>
      <sheetName val="Codes_Master"/>
      <sheetName val="I__Material_&amp;_Eqpt"/>
      <sheetName val="REF_ONLY"/>
      <sheetName val="Part_2_-_Structural"/>
      <sheetName val="Part_3_-_Cladding"/>
      <sheetName val="Part_4_-Mech"/>
      <sheetName val="Part_5_-_piping"/>
      <sheetName val="part_7_-_chutes-dedusting"/>
      <sheetName val="part_8_-_thermal_insul_"/>
      <sheetName val="DRS_Data"/>
      <sheetName val="LookupData"/>
      <sheetName val="해외 기술훈련비 (합계)"/>
      <sheetName val="List Doc"/>
      <sheetName val="FIRED HEATER Sh. 1"/>
      <sheetName val="BreakDown Lists"/>
      <sheetName val="LIST1"/>
      <sheetName val="Concrete Data"/>
      <sheetName val="BF"/>
      <sheetName val="sheet 1"/>
      <sheetName val="Data_for_Access9"/>
      <sheetName val="920-EM-31_(2)9"/>
      <sheetName val="OIL_SYST_DATA_SHTS9"/>
      <sheetName val="IO_per_P&amp;ID_3"/>
      <sheetName val="ITB_COST3"/>
      <sheetName val="Calculator_Rates3"/>
      <sheetName val="DB_Extract_For_Cables_2010_07_4"/>
      <sheetName val="Cable_Details_Master3"/>
      <sheetName val="Page_1_-_Front_Sheet3"/>
      <sheetName val="Cab_Commodity_Code_3"/>
      <sheetName val="From_Chennai_2010_01_093"/>
      <sheetName val="Cable_Details_(Ref)3"/>
      <sheetName val="PCV-048_&amp;_TCV-0133"/>
      <sheetName val="BOM_REV_0"/>
      <sheetName val="BOMGROUP_LIST"/>
      <sheetName val="Cost_Center"/>
      <sheetName val="_CABLE"/>
      <sheetName val="All_Expats-jul_cost"/>
      <sheetName val="R30_500"/>
      <sheetName val="T10_0"/>
      <sheetName val="Total_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ge 2"/>
      <sheetName val="Alternator"/>
      <sheetName val="BOM"/>
      <sheetName val="IO SUMMARY"/>
      <sheetName val="Electrical Load List"/>
      <sheetName val="Pump"/>
      <sheetName val="C-3204"/>
      <sheetName val="CONST"/>
      <sheetName val="Settings"/>
      <sheetName val="Currencies"/>
      <sheetName val="COVER"/>
      <sheetName val="Project Details"/>
      <sheetName val="PRICE COMP"/>
      <sheetName val="Sheet5"/>
      <sheetName val="AB_F&amp;G"/>
      <sheetName val="Project overview"/>
      <sheetName val="Welcome"/>
      <sheetName val="DRS_Data"/>
      <sheetName val="Lot-2_Pack"/>
      <sheetName val="Pump Seal Changes"/>
      <sheetName val="Units"/>
      <sheetName val="Data"/>
      <sheetName val="OIL SYST DATA SHTS"/>
      <sheetName val="FIRED HEATER Sh. 1"/>
      <sheetName val="JB LIST"/>
      <sheetName val="JB-Unique_Ref"/>
      <sheetName val="BOQ"/>
      <sheetName val="Datasheet"/>
      <sheetName val="JB Uniqe_Total_OLD"/>
      <sheetName val="ASCEandUBC"/>
      <sheetName val="FIRE"/>
      <sheetName val="PumpSpec"/>
      <sheetName val="PRICE-COMP"/>
      <sheetName val="Page 1 - Front Sheet"/>
      <sheetName val="BP"/>
      <sheetName val="piping"/>
      <sheetName val="lookup"/>
      <sheetName val="SECTION-A"/>
      <sheetName val="1483BA"/>
      <sheetName val="Namen"/>
      <sheetName val="BSR"/>
      <sheetName val="KP1590_E"/>
      <sheetName val="Estimation"/>
      <sheetName val="page_2"/>
      <sheetName val="IO_SUMMARY"/>
      <sheetName val="Electrical_Load_List"/>
      <sheetName val="Project_Details"/>
      <sheetName val="PRICE_COMP"/>
      <sheetName val="Project_overview"/>
      <sheetName val="Pump_Seal_Changes"/>
      <sheetName val="OIL_SYST_DATA_SHTS"/>
      <sheetName val="FIRED_HEATER_Sh__1"/>
      <sheetName val="JB_LIST"/>
      <sheetName val="JB_Uniqe_Total_OLD"/>
      <sheetName val="Bldg Costing Sheet"/>
      <sheetName val="WTAC BR UP SUM"/>
      <sheetName val="BOQ (11517)"/>
      <sheetName val="Flanges &amp; Fittings"/>
      <sheetName val="Insts"/>
      <sheetName val="Page2"/>
      <sheetName val="page_21"/>
      <sheetName val="IO_SUMMARY1"/>
      <sheetName val="Electrical_Load_List1"/>
      <sheetName val="Project_Details1"/>
      <sheetName val="PRICE_COMP1"/>
      <sheetName val="Project_overview1"/>
      <sheetName val="Pump_Seal_Changes1"/>
      <sheetName val="OIL_SYST_DATA_SHTS1"/>
      <sheetName val="FIRED_HEATER_Sh__11"/>
      <sheetName val="JB_LIST1"/>
      <sheetName val="JB_Uniqe_Total_OLD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Dmdsch"/>
      <sheetName val="BOQ"/>
      <sheetName val="Compare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rocess Data"/>
      <sheetName val="Electrical Load List"/>
    </sheetNames>
    <sheetDataSet>
      <sheetData sheetId="0"/>
      <sheetData sheetId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ge 2"/>
      <sheetName val="Alternator"/>
      <sheetName val="IO SUMMARY"/>
      <sheetName val="Electrical Load List"/>
      <sheetName val="Pump"/>
      <sheetName val="Currencies"/>
      <sheetName val="Settings"/>
      <sheetName val="Project Details"/>
      <sheetName val="PRICE COMP"/>
      <sheetName val="DRS_Data"/>
      <sheetName val="Lot-2_Pack"/>
      <sheetName val="Welcome"/>
      <sheetName val="Pump Seal Changes"/>
      <sheetName val="BOM"/>
      <sheetName val="C-3204"/>
      <sheetName val="Sheet5"/>
      <sheetName val="AB_F&amp;G"/>
      <sheetName val="Project overview"/>
      <sheetName val="Units"/>
      <sheetName val="Data"/>
      <sheetName val="OIL SYST DATA SHTS"/>
      <sheetName val="FIRED HEATER Sh. 1"/>
      <sheetName val="JB LIST"/>
      <sheetName val="JB-Unique_Ref"/>
      <sheetName val="BOQ"/>
      <sheetName val="Datasheet"/>
      <sheetName val="JB Uniqe_Total_OLD"/>
      <sheetName val="COVER"/>
      <sheetName val="CONST"/>
      <sheetName val="ASCEandUBC"/>
      <sheetName val="FIRE"/>
      <sheetName val="piping"/>
      <sheetName val="lookup"/>
      <sheetName val="PumpSpec"/>
      <sheetName val="BP"/>
      <sheetName val="SECTION-A"/>
      <sheetName val="Namen"/>
      <sheetName val="BOQ (11517)"/>
      <sheetName val="Flanges &amp; Fittings"/>
      <sheetName val="page_2"/>
      <sheetName val="IO_SUMMARY"/>
      <sheetName val="Electrical_Load_List"/>
      <sheetName val="Project_Details"/>
      <sheetName val="PRICE_COMP"/>
      <sheetName val="Project_overview"/>
      <sheetName val="Pump_Seal_Changes"/>
      <sheetName val="OIL_SYST_DATA_SHTS"/>
      <sheetName val="FIRED_HEATER_Sh__1"/>
      <sheetName val="JB_LIST"/>
      <sheetName val="JB_Uniqe_Total_OLD"/>
      <sheetName val="page_21"/>
      <sheetName val="IO_SUMMARY1"/>
      <sheetName val="Electrical_Load_List1"/>
      <sheetName val="Project_Details1"/>
      <sheetName val="PRICE_COMP1"/>
      <sheetName val="Project_overview1"/>
      <sheetName val="Pump_Seal_Changes1"/>
      <sheetName val="OIL_SYST_DATA_SHTS1"/>
      <sheetName val="FIRED_HEATER_Sh__11"/>
      <sheetName val="JB_LIST1"/>
      <sheetName val="JB_Uniqe_Total_OLD1"/>
      <sheetName val="PRICE-COMP"/>
      <sheetName val="Page 1 - Front Sheet"/>
      <sheetName val="Insts"/>
      <sheetName val="Page2"/>
      <sheetName val="BOQ_(11517)"/>
      <sheetName val="Flanges_&amp;_Fittings"/>
      <sheetName val="Liability Mgmt"/>
      <sheetName val="Notes for BOQ"/>
      <sheetName val="Total"/>
      <sheetName val="page_22"/>
      <sheetName val="page_23"/>
      <sheetName val="IO_SUMMARY2"/>
      <sheetName val="Electrical_Load_List2"/>
      <sheetName val="Project_overview2"/>
      <sheetName val="Project_Details2"/>
      <sheetName val="PRICE_COMP2"/>
      <sheetName val="Pump_Seal_Changes2"/>
      <sheetName val="OIL_SYST_DATA_SHTS2"/>
      <sheetName val="FIRED_HEATER_Sh__12"/>
      <sheetName val="JB_LIST2"/>
      <sheetName val="JB_Uniqe_Total_OLD2"/>
      <sheetName val="BOQ_(11517)1"/>
      <sheetName val="Flanges_&amp;_Fittings1"/>
      <sheetName val="RING WAL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4"/>
  <sheetViews>
    <sheetView tabSelected="1" zoomScale="63" zoomScaleNormal="63" topLeftCell="I1" workbookViewId="0">
      <selection activeCell="R1" sqref="R1:S1"/>
    </sheetView>
  </sheetViews>
  <sheetFormatPr defaultColWidth="9" defaultRowHeight="14.4"/>
  <cols>
    <col min="3" max="3" width="23.712962962963" hidden="1" customWidth="1"/>
    <col min="4" max="5" width="9.13888888888889" hidden="1" customWidth="1"/>
    <col min="6" max="6" width="103.712962962963" customWidth="1"/>
    <col min="7" max="7" width="47.7037037037037" customWidth="1"/>
    <col min="8" max="8" width="16.0740740740741" customWidth="1"/>
    <col min="9" max="9" width="29.1481481481481" customWidth="1"/>
    <col min="10" max="10" width="27.3148148148148" customWidth="1"/>
    <col min="11" max="11" width="13.9814814814815" customWidth="1"/>
    <col min="12" max="12" width="28.6296296296296" customWidth="1"/>
    <col min="13" max="13" width="29.7962962962963" customWidth="1"/>
    <col min="14" max="14" width="43.787037037037" customWidth="1"/>
    <col min="16" max="16" width="12.8888888888889"/>
    <col min="17" max="17" width="12.4259259259259" customWidth="1"/>
    <col min="18" max="18" width="14.5740740740741" customWidth="1"/>
    <col min="19" max="19" width="18.8611111111111" customWidth="1"/>
    <col min="20" max="20" width="19.75" customWidth="1"/>
    <col min="21" max="21" width="21.1574074074074" customWidth="1"/>
    <col min="22" max="22" width="20.8055555555556" customWidth="1"/>
  </cols>
  <sheetData>
    <row r="1" ht="39" customHeight="1" spans="18:19">
      <c r="R1" s="13"/>
      <c r="S1" s="13"/>
    </row>
    <row r="2" ht="43.2" spans="1:2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4" t="s">
        <v>16</v>
      </c>
      <c r="R2" s="14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ht="34.8" spans="1:22">
      <c r="A3" s="3">
        <v>1</v>
      </c>
      <c r="B3" s="4">
        <v>1</v>
      </c>
      <c r="C3" s="4">
        <v>4</v>
      </c>
      <c r="D3" s="5" t="s">
        <v>22</v>
      </c>
      <c r="E3" s="5"/>
      <c r="F3" s="6" t="s">
        <v>23</v>
      </c>
      <c r="G3" s="7" t="s">
        <v>24</v>
      </c>
      <c r="H3" s="7" t="s">
        <v>25</v>
      </c>
      <c r="I3" s="7" t="s">
        <v>26</v>
      </c>
      <c r="J3" s="7"/>
      <c r="K3" s="7" t="s">
        <v>27</v>
      </c>
      <c r="L3" s="7" t="s">
        <v>28</v>
      </c>
      <c r="M3" s="11" t="s">
        <v>29</v>
      </c>
      <c r="N3" s="6" t="s">
        <v>30</v>
      </c>
      <c r="O3" s="5">
        <v>4</v>
      </c>
      <c r="P3" s="5" t="s">
        <v>22</v>
      </c>
      <c r="Q3" s="15">
        <v>53.3333333333333</v>
      </c>
      <c r="R3" s="16">
        <v>213.333333333333</v>
      </c>
      <c r="S3" s="3">
        <f>Q3*1.25</f>
        <v>66.6666666666666</v>
      </c>
      <c r="T3" s="3">
        <f>S3*O3</f>
        <v>266.666666666667</v>
      </c>
      <c r="U3" s="3">
        <f>S3/7.05</f>
        <v>9.45626477541371</v>
      </c>
      <c r="V3">
        <f>U3*O3</f>
        <v>37.8250591016548</v>
      </c>
    </row>
    <row r="4" ht="38.4" spans="1:22">
      <c r="A4" s="3">
        <v>2</v>
      </c>
      <c r="B4" s="4">
        <v>2</v>
      </c>
      <c r="C4" s="4">
        <v>24</v>
      </c>
      <c r="D4" s="5" t="s">
        <v>22</v>
      </c>
      <c r="E4" s="5"/>
      <c r="F4" s="6" t="s">
        <v>31</v>
      </c>
      <c r="G4" s="7" t="s">
        <v>32</v>
      </c>
      <c r="H4" s="7" t="s">
        <v>33</v>
      </c>
      <c r="I4" s="7" t="s">
        <v>34</v>
      </c>
      <c r="J4" s="7"/>
      <c r="K4" s="7" t="s">
        <v>27</v>
      </c>
      <c r="L4" s="7" t="s">
        <v>28</v>
      </c>
      <c r="M4" s="7" t="s">
        <v>35</v>
      </c>
      <c r="N4" s="6" t="s">
        <v>30</v>
      </c>
      <c r="O4" s="5">
        <v>24</v>
      </c>
      <c r="P4" s="5" t="s">
        <v>22</v>
      </c>
      <c r="Q4" s="15">
        <v>20</v>
      </c>
      <c r="R4" s="16">
        <v>480</v>
      </c>
      <c r="S4" s="3">
        <f t="shared" ref="S4:S35" si="0">Q4*1.25</f>
        <v>25</v>
      </c>
      <c r="T4" s="3">
        <f t="shared" ref="T4:T35" si="1">S4*O4</f>
        <v>600</v>
      </c>
      <c r="U4" s="3">
        <f t="shared" ref="U4:U35" si="2">S4/7.05</f>
        <v>3.54609929078014</v>
      </c>
      <c r="V4">
        <f t="shared" ref="V4:V35" si="3">U4*O4</f>
        <v>85.1063829787234</v>
      </c>
    </row>
    <row r="5" ht="38.4" spans="1:22">
      <c r="A5" s="3">
        <v>3</v>
      </c>
      <c r="B5" s="4">
        <v>3</v>
      </c>
      <c r="C5" s="4">
        <v>17</v>
      </c>
      <c r="D5" s="5" t="s">
        <v>22</v>
      </c>
      <c r="E5" s="5"/>
      <c r="F5" s="6" t="s">
        <v>36</v>
      </c>
      <c r="G5" s="7" t="s">
        <v>32</v>
      </c>
      <c r="H5" s="7" t="s">
        <v>25</v>
      </c>
      <c r="I5" s="7" t="s">
        <v>26</v>
      </c>
      <c r="J5" s="7"/>
      <c r="K5" s="7" t="s">
        <v>27</v>
      </c>
      <c r="L5" s="7" t="s">
        <v>28</v>
      </c>
      <c r="M5" s="7" t="s">
        <v>35</v>
      </c>
      <c r="N5" s="6" t="s">
        <v>30</v>
      </c>
      <c r="O5" s="5">
        <v>17</v>
      </c>
      <c r="P5" s="5" t="s">
        <v>22</v>
      </c>
      <c r="Q5" s="15">
        <v>33.3333333333333</v>
      </c>
      <c r="R5" s="16">
        <v>566.666666666667</v>
      </c>
      <c r="S5" s="3">
        <f t="shared" si="0"/>
        <v>41.6666666666666</v>
      </c>
      <c r="T5" s="3">
        <f t="shared" si="1"/>
        <v>708.333333333333</v>
      </c>
      <c r="U5" s="3">
        <f t="shared" si="2"/>
        <v>5.91016548463356</v>
      </c>
      <c r="V5">
        <f t="shared" si="3"/>
        <v>100.472813238771</v>
      </c>
    </row>
    <row r="6" ht="38.4" spans="1:22">
      <c r="A6" s="3">
        <v>4</v>
      </c>
      <c r="B6" s="4">
        <v>4</v>
      </c>
      <c r="C6" s="4">
        <v>9</v>
      </c>
      <c r="D6" s="5" t="s">
        <v>22</v>
      </c>
      <c r="E6" s="5"/>
      <c r="F6" s="6" t="s">
        <v>37</v>
      </c>
      <c r="G6" s="7" t="s">
        <v>32</v>
      </c>
      <c r="H6" s="7" t="s">
        <v>38</v>
      </c>
      <c r="I6" s="7" t="s">
        <v>39</v>
      </c>
      <c r="J6" s="7"/>
      <c r="K6" s="7" t="s">
        <v>27</v>
      </c>
      <c r="L6" s="7" t="s">
        <v>28</v>
      </c>
      <c r="M6" s="7" t="s">
        <v>35</v>
      </c>
      <c r="N6" s="6" t="s">
        <v>30</v>
      </c>
      <c r="O6" s="5">
        <v>9</v>
      </c>
      <c r="P6" s="5" t="s">
        <v>22</v>
      </c>
      <c r="Q6" s="15">
        <v>53.3333333333333</v>
      </c>
      <c r="R6" s="16">
        <v>480</v>
      </c>
      <c r="S6" s="3">
        <f t="shared" si="0"/>
        <v>66.6666666666666</v>
      </c>
      <c r="T6" s="3">
        <f t="shared" si="1"/>
        <v>600</v>
      </c>
      <c r="U6" s="3">
        <f t="shared" si="2"/>
        <v>9.45626477541371</v>
      </c>
      <c r="V6">
        <f t="shared" si="3"/>
        <v>85.1063829787233</v>
      </c>
    </row>
    <row r="7" ht="38.4" spans="1:22">
      <c r="A7" s="3">
        <v>5</v>
      </c>
      <c r="B7" s="4">
        <v>5</v>
      </c>
      <c r="C7" s="4">
        <v>8</v>
      </c>
      <c r="D7" s="5" t="s">
        <v>22</v>
      </c>
      <c r="E7" s="5"/>
      <c r="F7" s="6" t="s">
        <v>40</v>
      </c>
      <c r="G7" s="7" t="s">
        <v>41</v>
      </c>
      <c r="H7" s="7" t="s">
        <v>42</v>
      </c>
      <c r="I7" s="7" t="s">
        <v>34</v>
      </c>
      <c r="J7" s="7"/>
      <c r="K7" s="7" t="s">
        <v>27</v>
      </c>
      <c r="L7" s="7" t="s">
        <v>28</v>
      </c>
      <c r="M7" s="7" t="s">
        <v>35</v>
      </c>
      <c r="N7" s="6" t="s">
        <v>30</v>
      </c>
      <c r="O7" s="5">
        <v>8</v>
      </c>
      <c r="P7" s="5" t="s">
        <v>22</v>
      </c>
      <c r="Q7" s="15">
        <v>26.6666666666667</v>
      </c>
      <c r="R7" s="16">
        <v>213.333333333333</v>
      </c>
      <c r="S7" s="3">
        <f t="shared" si="0"/>
        <v>33.3333333333334</v>
      </c>
      <c r="T7" s="3">
        <f t="shared" si="1"/>
        <v>266.666666666667</v>
      </c>
      <c r="U7" s="3">
        <f t="shared" si="2"/>
        <v>4.72813238770686</v>
      </c>
      <c r="V7">
        <f t="shared" si="3"/>
        <v>37.8250591016549</v>
      </c>
    </row>
    <row r="8" ht="38.4" spans="1:22">
      <c r="A8" s="3">
        <v>6</v>
      </c>
      <c r="B8" s="4">
        <v>6</v>
      </c>
      <c r="C8" s="4">
        <v>203</v>
      </c>
      <c r="D8" s="5" t="s">
        <v>22</v>
      </c>
      <c r="E8" s="5"/>
      <c r="F8" s="6" t="s">
        <v>43</v>
      </c>
      <c r="G8" s="7" t="s">
        <v>41</v>
      </c>
      <c r="H8" s="7" t="s">
        <v>33</v>
      </c>
      <c r="I8" s="7" t="s">
        <v>34</v>
      </c>
      <c r="J8" s="7"/>
      <c r="K8" s="7" t="s">
        <v>27</v>
      </c>
      <c r="L8" s="7" t="s">
        <v>28</v>
      </c>
      <c r="M8" s="7" t="s">
        <v>35</v>
      </c>
      <c r="N8" s="6" t="s">
        <v>30</v>
      </c>
      <c r="O8" s="5">
        <v>203</v>
      </c>
      <c r="P8" s="5" t="s">
        <v>22</v>
      </c>
      <c r="Q8" s="15">
        <v>33.3333333333333</v>
      </c>
      <c r="R8" s="16">
        <v>6766.66666666667</v>
      </c>
      <c r="S8" s="3">
        <f t="shared" si="0"/>
        <v>41.6666666666666</v>
      </c>
      <c r="T8" s="3">
        <f t="shared" si="1"/>
        <v>8458.33333333332</v>
      </c>
      <c r="U8" s="3">
        <f t="shared" si="2"/>
        <v>5.91016548463356</v>
      </c>
      <c r="V8">
        <f t="shared" si="3"/>
        <v>1199.76359338061</v>
      </c>
    </row>
    <row r="9" ht="38.4" spans="1:22">
      <c r="A9" s="3">
        <v>7</v>
      </c>
      <c r="B9" s="4">
        <v>7</v>
      </c>
      <c r="C9" s="4">
        <v>51</v>
      </c>
      <c r="D9" s="5" t="s">
        <v>22</v>
      </c>
      <c r="E9" s="5"/>
      <c r="F9" s="6" t="s">
        <v>44</v>
      </c>
      <c r="G9" s="7" t="s">
        <v>41</v>
      </c>
      <c r="H9" s="7" t="s">
        <v>25</v>
      </c>
      <c r="I9" s="7" t="s">
        <v>26</v>
      </c>
      <c r="J9" s="7"/>
      <c r="K9" s="7" t="s">
        <v>27</v>
      </c>
      <c r="L9" s="7" t="s">
        <v>28</v>
      </c>
      <c r="M9" s="7" t="s">
        <v>35</v>
      </c>
      <c r="N9" s="6" t="s">
        <v>30</v>
      </c>
      <c r="O9" s="5">
        <v>51</v>
      </c>
      <c r="P9" s="5" t="s">
        <v>22</v>
      </c>
      <c r="Q9" s="15">
        <v>46.6666666666667</v>
      </c>
      <c r="R9" s="16">
        <v>2380</v>
      </c>
      <c r="S9" s="3">
        <f t="shared" si="0"/>
        <v>58.3333333333334</v>
      </c>
      <c r="T9" s="3">
        <f t="shared" si="1"/>
        <v>2975</v>
      </c>
      <c r="U9" s="3">
        <f t="shared" si="2"/>
        <v>8.274231678487</v>
      </c>
      <c r="V9">
        <f t="shared" si="3"/>
        <v>421.985815602837</v>
      </c>
    </row>
    <row r="10" ht="38.4" spans="1:22">
      <c r="A10" s="3">
        <v>8</v>
      </c>
      <c r="B10" s="4">
        <v>8</v>
      </c>
      <c r="C10" s="4">
        <v>39</v>
      </c>
      <c r="D10" s="5" t="s">
        <v>22</v>
      </c>
      <c r="E10" s="5"/>
      <c r="F10" s="6" t="s">
        <v>45</v>
      </c>
      <c r="G10" s="7" t="s">
        <v>41</v>
      </c>
      <c r="H10" s="7" t="s">
        <v>38</v>
      </c>
      <c r="I10" s="7" t="s">
        <v>39</v>
      </c>
      <c r="J10" s="7"/>
      <c r="K10" s="7" t="s">
        <v>27</v>
      </c>
      <c r="L10" s="7" t="s">
        <v>28</v>
      </c>
      <c r="M10" s="7" t="s">
        <v>35</v>
      </c>
      <c r="N10" s="6" t="s">
        <v>30</v>
      </c>
      <c r="O10" s="5">
        <v>39</v>
      </c>
      <c r="P10" s="5" t="s">
        <v>22</v>
      </c>
      <c r="Q10" s="15">
        <v>80</v>
      </c>
      <c r="R10" s="16">
        <v>3120</v>
      </c>
      <c r="S10" s="3">
        <f t="shared" si="0"/>
        <v>100</v>
      </c>
      <c r="T10" s="3">
        <f t="shared" si="1"/>
        <v>3900</v>
      </c>
      <c r="U10" s="3">
        <f t="shared" si="2"/>
        <v>14.1843971631206</v>
      </c>
      <c r="V10">
        <f t="shared" si="3"/>
        <v>553.191489361702</v>
      </c>
    </row>
    <row r="11" ht="38.4" spans="1:22">
      <c r="A11" s="3">
        <v>9</v>
      </c>
      <c r="B11" s="4">
        <v>9</v>
      </c>
      <c r="C11" s="4">
        <v>2</v>
      </c>
      <c r="D11" s="5" t="s">
        <v>22</v>
      </c>
      <c r="E11" s="5"/>
      <c r="F11" s="6" t="s">
        <v>46</v>
      </c>
      <c r="G11" s="7" t="s">
        <v>41</v>
      </c>
      <c r="H11" s="7" t="s">
        <v>42</v>
      </c>
      <c r="I11" s="7" t="s">
        <v>34</v>
      </c>
      <c r="J11" s="7"/>
      <c r="K11" s="7" t="s">
        <v>27</v>
      </c>
      <c r="L11" s="7" t="s">
        <v>28</v>
      </c>
      <c r="M11" s="11" t="s">
        <v>47</v>
      </c>
      <c r="N11" s="6" t="s">
        <v>30</v>
      </c>
      <c r="O11" s="5">
        <v>2</v>
      </c>
      <c r="P11" s="5" t="s">
        <v>22</v>
      </c>
      <c r="Q11" s="15">
        <v>26.6666666666667</v>
      </c>
      <c r="R11" s="16">
        <v>53.3333333333333</v>
      </c>
      <c r="S11" s="3">
        <f t="shared" si="0"/>
        <v>33.3333333333334</v>
      </c>
      <c r="T11" s="3">
        <f t="shared" si="1"/>
        <v>66.6666666666667</v>
      </c>
      <c r="U11" s="3">
        <f t="shared" si="2"/>
        <v>4.72813238770686</v>
      </c>
      <c r="V11">
        <f t="shared" si="3"/>
        <v>9.45626477541372</v>
      </c>
    </row>
    <row r="12" ht="54" spans="1:22">
      <c r="A12" s="3">
        <v>10</v>
      </c>
      <c r="B12" s="4">
        <v>10</v>
      </c>
      <c r="C12" s="4">
        <v>3</v>
      </c>
      <c r="D12" s="5" t="s">
        <v>22</v>
      </c>
      <c r="E12" s="5"/>
      <c r="F12" s="6" t="s">
        <v>48</v>
      </c>
      <c r="G12" s="7" t="s">
        <v>49</v>
      </c>
      <c r="H12" s="7" t="s">
        <v>33</v>
      </c>
      <c r="I12" s="7"/>
      <c r="J12" s="7" t="s">
        <v>50</v>
      </c>
      <c r="K12" s="7" t="s">
        <v>51</v>
      </c>
      <c r="L12" s="7" t="s">
        <v>52</v>
      </c>
      <c r="M12" s="11" t="s">
        <v>53</v>
      </c>
      <c r="N12" s="6" t="s">
        <v>30</v>
      </c>
      <c r="O12" s="5">
        <v>3</v>
      </c>
      <c r="P12" s="5" t="s">
        <v>22</v>
      </c>
      <c r="Q12" s="15">
        <v>60</v>
      </c>
      <c r="R12" s="16">
        <v>180</v>
      </c>
      <c r="S12" s="3">
        <f t="shared" si="0"/>
        <v>75</v>
      </c>
      <c r="T12" s="3">
        <f t="shared" si="1"/>
        <v>225</v>
      </c>
      <c r="U12" s="3">
        <f t="shared" si="2"/>
        <v>10.6382978723404</v>
      </c>
      <c r="V12">
        <f t="shared" si="3"/>
        <v>31.9148936170213</v>
      </c>
    </row>
    <row r="13" ht="34.8" spans="1:22">
      <c r="A13" s="3">
        <v>11</v>
      </c>
      <c r="B13" s="4">
        <v>11</v>
      </c>
      <c r="C13" s="4">
        <v>4</v>
      </c>
      <c r="D13" s="5" t="s">
        <v>22</v>
      </c>
      <c r="E13" s="5"/>
      <c r="F13" s="6" t="s">
        <v>54</v>
      </c>
      <c r="G13" s="7" t="s">
        <v>55</v>
      </c>
      <c r="H13" s="7" t="s">
        <v>56</v>
      </c>
      <c r="I13" s="7" t="s">
        <v>57</v>
      </c>
      <c r="J13" s="7"/>
      <c r="K13" s="7" t="s">
        <v>27</v>
      </c>
      <c r="L13" s="7" t="s">
        <v>28</v>
      </c>
      <c r="M13" s="7" t="s">
        <v>58</v>
      </c>
      <c r="N13" s="6" t="s">
        <v>30</v>
      </c>
      <c r="O13" s="5">
        <v>4</v>
      </c>
      <c r="P13" s="5" t="s">
        <v>22</v>
      </c>
      <c r="Q13" s="15">
        <v>66.6666666666667</v>
      </c>
      <c r="R13" s="16">
        <v>266.666666666667</v>
      </c>
      <c r="S13" s="3">
        <f t="shared" si="0"/>
        <v>83.3333333333334</v>
      </c>
      <c r="T13" s="3">
        <f t="shared" si="1"/>
        <v>333.333333333333</v>
      </c>
      <c r="U13" s="3">
        <f t="shared" si="2"/>
        <v>11.8203309692671</v>
      </c>
      <c r="V13">
        <f t="shared" si="3"/>
        <v>47.2813238770686</v>
      </c>
    </row>
    <row r="14" ht="34.8" spans="1:22">
      <c r="A14" s="3">
        <v>12</v>
      </c>
      <c r="B14" s="4">
        <v>12</v>
      </c>
      <c r="C14" s="4">
        <v>1</v>
      </c>
      <c r="D14" s="5" t="s">
        <v>22</v>
      </c>
      <c r="E14" s="5"/>
      <c r="F14" s="6" t="s">
        <v>59</v>
      </c>
      <c r="G14" s="7" t="s">
        <v>60</v>
      </c>
      <c r="H14" s="7" t="s">
        <v>61</v>
      </c>
      <c r="I14" s="7" t="s">
        <v>62</v>
      </c>
      <c r="J14" s="7"/>
      <c r="K14" s="7" t="s">
        <v>27</v>
      </c>
      <c r="L14" s="7" t="s">
        <v>28</v>
      </c>
      <c r="M14" s="11" t="s">
        <v>29</v>
      </c>
      <c r="N14" s="6" t="s">
        <v>30</v>
      </c>
      <c r="O14" s="5">
        <v>1</v>
      </c>
      <c r="P14" s="5" t="s">
        <v>22</v>
      </c>
      <c r="Q14" s="15">
        <v>33.3333333333333</v>
      </c>
      <c r="R14" s="16">
        <v>33.3333333333333</v>
      </c>
      <c r="S14" s="3">
        <f t="shared" si="0"/>
        <v>41.6666666666666</v>
      </c>
      <c r="T14" s="3">
        <f t="shared" si="1"/>
        <v>41.6666666666666</v>
      </c>
      <c r="U14" s="3">
        <f t="shared" si="2"/>
        <v>5.91016548463356</v>
      </c>
      <c r="V14">
        <f t="shared" si="3"/>
        <v>5.91016548463356</v>
      </c>
    </row>
    <row r="15" ht="34.8" spans="1:22">
      <c r="A15" s="3">
        <v>13</v>
      </c>
      <c r="B15" s="4">
        <v>13</v>
      </c>
      <c r="C15" s="4">
        <v>1</v>
      </c>
      <c r="D15" s="5" t="s">
        <v>22</v>
      </c>
      <c r="E15" s="5"/>
      <c r="F15" s="6" t="s">
        <v>63</v>
      </c>
      <c r="G15" s="7" t="s">
        <v>60</v>
      </c>
      <c r="H15" s="7" t="s">
        <v>64</v>
      </c>
      <c r="I15" s="7" t="s">
        <v>65</v>
      </c>
      <c r="J15" s="7"/>
      <c r="K15" s="7" t="s">
        <v>27</v>
      </c>
      <c r="L15" s="7" t="s">
        <v>28</v>
      </c>
      <c r="M15" s="11" t="s">
        <v>58</v>
      </c>
      <c r="N15" s="6" t="s">
        <v>30</v>
      </c>
      <c r="O15" s="5">
        <v>1</v>
      </c>
      <c r="P15" s="5" t="s">
        <v>22</v>
      </c>
      <c r="Q15" s="15">
        <v>40</v>
      </c>
      <c r="R15" s="16">
        <v>40</v>
      </c>
      <c r="S15" s="3">
        <f t="shared" si="0"/>
        <v>50</v>
      </c>
      <c r="T15" s="3">
        <f t="shared" si="1"/>
        <v>50</v>
      </c>
      <c r="U15" s="3">
        <f t="shared" si="2"/>
        <v>7.09219858156028</v>
      </c>
      <c r="V15">
        <f t="shared" si="3"/>
        <v>7.09219858156028</v>
      </c>
    </row>
    <row r="16" ht="34.8" spans="1:22">
      <c r="A16" s="3">
        <v>14</v>
      </c>
      <c r="B16" s="4">
        <v>14</v>
      </c>
      <c r="C16" s="4">
        <v>5</v>
      </c>
      <c r="D16" s="5" t="s">
        <v>22</v>
      </c>
      <c r="E16" s="5"/>
      <c r="F16" s="6" t="s">
        <v>66</v>
      </c>
      <c r="G16" s="7" t="s">
        <v>60</v>
      </c>
      <c r="H16" s="7" t="s">
        <v>67</v>
      </c>
      <c r="I16" s="7" t="s">
        <v>68</v>
      </c>
      <c r="J16" s="7"/>
      <c r="K16" s="7" t="s">
        <v>27</v>
      </c>
      <c r="L16" s="7" t="s">
        <v>28</v>
      </c>
      <c r="M16" s="7" t="s">
        <v>58</v>
      </c>
      <c r="N16" s="6" t="s">
        <v>30</v>
      </c>
      <c r="O16" s="5">
        <v>5</v>
      </c>
      <c r="P16" s="5" t="s">
        <v>22</v>
      </c>
      <c r="Q16" s="15">
        <v>60</v>
      </c>
      <c r="R16" s="16">
        <v>300</v>
      </c>
      <c r="S16" s="3">
        <f t="shared" si="0"/>
        <v>75</v>
      </c>
      <c r="T16" s="3">
        <f t="shared" si="1"/>
        <v>375</v>
      </c>
      <c r="U16" s="3">
        <f t="shared" si="2"/>
        <v>10.6382978723404</v>
      </c>
      <c r="V16">
        <f t="shared" si="3"/>
        <v>53.1914893617021</v>
      </c>
    </row>
    <row r="17" ht="34.8" spans="1:22">
      <c r="A17" s="3">
        <v>15</v>
      </c>
      <c r="B17" s="4">
        <v>15</v>
      </c>
      <c r="C17" s="4">
        <v>7</v>
      </c>
      <c r="D17" s="5" t="s">
        <v>22</v>
      </c>
      <c r="E17" s="5"/>
      <c r="F17" s="6" t="s">
        <v>69</v>
      </c>
      <c r="G17" s="7" t="s">
        <v>70</v>
      </c>
      <c r="H17" s="7" t="s">
        <v>33</v>
      </c>
      <c r="I17" s="7" t="s">
        <v>34</v>
      </c>
      <c r="J17" s="7"/>
      <c r="K17" s="7" t="s">
        <v>27</v>
      </c>
      <c r="L17" s="7" t="s">
        <v>28</v>
      </c>
      <c r="M17" s="7" t="s">
        <v>58</v>
      </c>
      <c r="N17" s="6" t="s">
        <v>30</v>
      </c>
      <c r="O17" s="5">
        <v>7</v>
      </c>
      <c r="P17" s="5" t="s">
        <v>22</v>
      </c>
      <c r="Q17" s="15">
        <v>106.666666666667</v>
      </c>
      <c r="R17" s="16">
        <v>746.666666666667</v>
      </c>
      <c r="S17" s="3">
        <f t="shared" si="0"/>
        <v>133.333333333334</v>
      </c>
      <c r="T17" s="3">
        <f t="shared" si="1"/>
        <v>933.333333333336</v>
      </c>
      <c r="U17" s="3">
        <f t="shared" si="2"/>
        <v>18.9125295508275</v>
      </c>
      <c r="V17">
        <f t="shared" si="3"/>
        <v>132.387706855792</v>
      </c>
    </row>
    <row r="18" ht="34.8" spans="1:22">
      <c r="A18" s="3">
        <v>16</v>
      </c>
      <c r="B18" s="4">
        <v>16</v>
      </c>
      <c r="C18" s="4">
        <v>1</v>
      </c>
      <c r="D18" s="5" t="s">
        <v>22</v>
      </c>
      <c r="E18" s="5"/>
      <c r="F18" s="6" t="s">
        <v>71</v>
      </c>
      <c r="G18" s="7" t="s">
        <v>70</v>
      </c>
      <c r="H18" s="7" t="s">
        <v>25</v>
      </c>
      <c r="I18" s="7" t="s">
        <v>26</v>
      </c>
      <c r="J18" s="7"/>
      <c r="K18" s="7" t="s">
        <v>27</v>
      </c>
      <c r="L18" s="7" t="s">
        <v>28</v>
      </c>
      <c r="M18" s="11" t="s">
        <v>58</v>
      </c>
      <c r="N18" s="6" t="s">
        <v>30</v>
      </c>
      <c r="O18" s="5">
        <v>1</v>
      </c>
      <c r="P18" s="5" t="s">
        <v>22</v>
      </c>
      <c r="Q18" s="15">
        <v>160</v>
      </c>
      <c r="R18" s="16">
        <v>160</v>
      </c>
      <c r="S18" s="3">
        <f t="shared" si="0"/>
        <v>200</v>
      </c>
      <c r="T18" s="3">
        <f t="shared" si="1"/>
        <v>200</v>
      </c>
      <c r="U18" s="3">
        <f t="shared" si="2"/>
        <v>28.3687943262411</v>
      </c>
      <c r="V18">
        <f t="shared" si="3"/>
        <v>28.3687943262411</v>
      </c>
    </row>
    <row r="19" ht="34.8" spans="1:22">
      <c r="A19" s="3">
        <v>17</v>
      </c>
      <c r="B19" s="4">
        <v>17</v>
      </c>
      <c r="C19" s="4">
        <v>3</v>
      </c>
      <c r="D19" s="5" t="s">
        <v>22</v>
      </c>
      <c r="E19" s="5"/>
      <c r="F19" s="6" t="s">
        <v>72</v>
      </c>
      <c r="G19" s="7" t="s">
        <v>70</v>
      </c>
      <c r="H19" s="7" t="s">
        <v>38</v>
      </c>
      <c r="I19" s="7" t="s">
        <v>39</v>
      </c>
      <c r="J19" s="7"/>
      <c r="K19" s="7" t="s">
        <v>27</v>
      </c>
      <c r="L19" s="7" t="s">
        <v>28</v>
      </c>
      <c r="M19" s="7" t="s">
        <v>58</v>
      </c>
      <c r="N19" s="6" t="s">
        <v>30</v>
      </c>
      <c r="O19" s="5">
        <v>3</v>
      </c>
      <c r="P19" s="5" t="s">
        <v>22</v>
      </c>
      <c r="Q19" s="15">
        <v>226.666666666667</v>
      </c>
      <c r="R19" s="16">
        <v>680</v>
      </c>
      <c r="S19" s="3">
        <f t="shared" si="0"/>
        <v>283.333333333334</v>
      </c>
      <c r="T19" s="3">
        <f t="shared" si="1"/>
        <v>850.000000000001</v>
      </c>
      <c r="U19" s="3">
        <f t="shared" si="2"/>
        <v>40.1891252955083</v>
      </c>
      <c r="V19">
        <f t="shared" si="3"/>
        <v>120.567375886525</v>
      </c>
    </row>
    <row r="20" ht="38.4" spans="1:22">
      <c r="A20" s="3">
        <v>18</v>
      </c>
      <c r="B20" s="4">
        <v>23</v>
      </c>
      <c r="C20" s="4">
        <v>606000</v>
      </c>
      <c r="D20" s="5" t="s">
        <v>73</v>
      </c>
      <c r="E20" s="5">
        <f>C20/1000</f>
        <v>606</v>
      </c>
      <c r="F20" s="6" t="s">
        <v>74</v>
      </c>
      <c r="G20" s="7" t="s">
        <v>75</v>
      </c>
      <c r="H20" s="7" t="s">
        <v>33</v>
      </c>
      <c r="I20" s="7" t="s">
        <v>34</v>
      </c>
      <c r="J20" s="7"/>
      <c r="K20" s="7" t="s">
        <v>76</v>
      </c>
      <c r="L20" s="7" t="s">
        <v>77</v>
      </c>
      <c r="M20" s="11" t="s">
        <v>78</v>
      </c>
      <c r="N20" s="6" t="s">
        <v>30</v>
      </c>
      <c r="O20" s="5">
        <v>101</v>
      </c>
      <c r="P20" s="5" t="s">
        <v>79</v>
      </c>
      <c r="Q20" s="15">
        <v>8777.77777777778</v>
      </c>
      <c r="R20" s="16">
        <v>26775.3920112</v>
      </c>
      <c r="S20" s="3">
        <f>R20/O20*1.08</f>
        <v>286.311122496</v>
      </c>
      <c r="T20" s="3">
        <f t="shared" si="1"/>
        <v>28917.423372096</v>
      </c>
      <c r="U20" s="3">
        <f t="shared" si="2"/>
        <v>40.6115067370213</v>
      </c>
      <c r="V20">
        <f t="shared" si="3"/>
        <v>4101.76218043915</v>
      </c>
    </row>
    <row r="21" ht="38.4" spans="1:22">
      <c r="A21" s="3">
        <v>19</v>
      </c>
      <c r="B21" s="4">
        <v>24</v>
      </c>
      <c r="C21" s="4">
        <v>102000</v>
      </c>
      <c r="D21" s="5" t="s">
        <v>73</v>
      </c>
      <c r="E21" s="5">
        <f>C21/1000</f>
        <v>102</v>
      </c>
      <c r="F21" s="6" t="s">
        <v>80</v>
      </c>
      <c r="G21" s="7" t="s">
        <v>75</v>
      </c>
      <c r="H21" s="7" t="s">
        <v>25</v>
      </c>
      <c r="I21" s="7" t="s">
        <v>26</v>
      </c>
      <c r="J21" s="7"/>
      <c r="K21" s="7" t="s">
        <v>76</v>
      </c>
      <c r="L21" s="7" t="s">
        <v>77</v>
      </c>
      <c r="M21" s="7" t="s">
        <v>78</v>
      </c>
      <c r="N21" s="6" t="s">
        <v>30</v>
      </c>
      <c r="O21" s="5">
        <v>17</v>
      </c>
      <c r="P21" s="5" t="s">
        <v>79</v>
      </c>
      <c r="Q21" s="15">
        <v>8777.77777777778</v>
      </c>
      <c r="R21" s="16">
        <v>7506.8328</v>
      </c>
      <c r="S21" s="3">
        <f>R21/O21*1.08</f>
        <v>476.904672</v>
      </c>
      <c r="T21" s="3">
        <f t="shared" si="1"/>
        <v>8107.379424</v>
      </c>
      <c r="U21" s="3">
        <f t="shared" si="2"/>
        <v>67.6460527659574</v>
      </c>
      <c r="V21">
        <f t="shared" si="3"/>
        <v>1149.98289702128</v>
      </c>
    </row>
    <row r="22" ht="38.4" spans="1:22">
      <c r="A22" s="3">
        <v>20</v>
      </c>
      <c r="B22" s="4">
        <v>25</v>
      </c>
      <c r="C22" s="4">
        <v>66000</v>
      </c>
      <c r="D22" s="5" t="s">
        <v>73</v>
      </c>
      <c r="E22" s="5">
        <f>C22/1000</f>
        <v>66</v>
      </c>
      <c r="F22" s="6" t="s">
        <v>81</v>
      </c>
      <c r="G22" s="7" t="s">
        <v>75</v>
      </c>
      <c r="H22" s="7" t="s">
        <v>38</v>
      </c>
      <c r="I22" s="7" t="s">
        <v>39</v>
      </c>
      <c r="J22" s="7"/>
      <c r="K22" s="7" t="s">
        <v>76</v>
      </c>
      <c r="L22" s="7" t="s">
        <v>77</v>
      </c>
      <c r="M22" s="11" t="s">
        <v>78</v>
      </c>
      <c r="N22" s="6" t="s">
        <v>30</v>
      </c>
      <c r="O22" s="5">
        <v>11</v>
      </c>
      <c r="P22" s="5" t="s">
        <v>79</v>
      </c>
      <c r="Q22" s="15">
        <v>8777.77777777778</v>
      </c>
      <c r="R22" s="16">
        <v>7058.890476</v>
      </c>
      <c r="S22" s="3">
        <f>R22/O22*1.08</f>
        <v>693.05470128</v>
      </c>
      <c r="T22" s="3">
        <f t="shared" si="1"/>
        <v>7623.60171408</v>
      </c>
      <c r="U22" s="3">
        <f t="shared" si="2"/>
        <v>98.305631387234</v>
      </c>
      <c r="V22">
        <f t="shared" si="3"/>
        <v>1081.36194525957</v>
      </c>
    </row>
    <row r="23" ht="38.4" spans="1:22">
      <c r="A23" s="3">
        <v>21</v>
      </c>
      <c r="B23" s="4">
        <v>26</v>
      </c>
      <c r="C23" s="4">
        <v>6000</v>
      </c>
      <c r="D23" s="5" t="s">
        <v>73</v>
      </c>
      <c r="E23" s="5">
        <f>C23/1000</f>
        <v>6</v>
      </c>
      <c r="F23" s="6" t="s">
        <v>82</v>
      </c>
      <c r="G23" s="7" t="s">
        <v>75</v>
      </c>
      <c r="H23" s="7" t="s">
        <v>42</v>
      </c>
      <c r="I23" s="7" t="s">
        <v>34</v>
      </c>
      <c r="J23" s="7"/>
      <c r="K23" s="7" t="s">
        <v>76</v>
      </c>
      <c r="L23" s="7" t="s">
        <v>77</v>
      </c>
      <c r="M23" s="11" t="s">
        <v>83</v>
      </c>
      <c r="N23" s="6" t="s">
        <v>30</v>
      </c>
      <c r="O23" s="5">
        <v>1</v>
      </c>
      <c r="P23" s="5" t="s">
        <v>79</v>
      </c>
      <c r="Q23" s="15">
        <v>9333.33333333333</v>
      </c>
      <c r="R23" s="16">
        <v>222.2240832</v>
      </c>
      <c r="S23" s="3">
        <f>R23/O23*1.08</f>
        <v>240.002009856</v>
      </c>
      <c r="T23" s="3">
        <f t="shared" si="1"/>
        <v>240.002009856</v>
      </c>
      <c r="U23" s="3">
        <f t="shared" si="2"/>
        <v>34.0428382774468</v>
      </c>
      <c r="V23">
        <f t="shared" si="3"/>
        <v>34.0428382774468</v>
      </c>
    </row>
    <row r="24" ht="34.8" spans="1:22">
      <c r="A24" s="3">
        <v>22</v>
      </c>
      <c r="B24" s="4">
        <v>27</v>
      </c>
      <c r="C24" s="4">
        <v>3</v>
      </c>
      <c r="D24" s="5" t="s">
        <v>22</v>
      </c>
      <c r="E24" s="5"/>
      <c r="F24" s="6" t="s">
        <v>84</v>
      </c>
      <c r="G24" s="7" t="s">
        <v>85</v>
      </c>
      <c r="H24" s="7" t="s">
        <v>86</v>
      </c>
      <c r="I24" s="7" t="s">
        <v>87</v>
      </c>
      <c r="J24" s="7"/>
      <c r="K24" s="7" t="s">
        <v>27</v>
      </c>
      <c r="L24" s="7" t="s">
        <v>28</v>
      </c>
      <c r="M24" s="11" t="s">
        <v>58</v>
      </c>
      <c r="N24" s="6" t="s">
        <v>30</v>
      </c>
      <c r="O24" s="5">
        <v>3</v>
      </c>
      <c r="P24" s="5" t="s">
        <v>22</v>
      </c>
      <c r="Q24" s="15">
        <v>80</v>
      </c>
      <c r="R24" s="16">
        <v>240</v>
      </c>
      <c r="S24" s="3">
        <f t="shared" si="0"/>
        <v>100</v>
      </c>
      <c r="T24" s="3">
        <f t="shared" si="1"/>
        <v>300</v>
      </c>
      <c r="U24" s="3">
        <f t="shared" si="2"/>
        <v>14.1843971631206</v>
      </c>
      <c r="V24">
        <f t="shared" si="3"/>
        <v>42.5531914893617</v>
      </c>
    </row>
    <row r="25" ht="34.8" spans="1:22">
      <c r="A25" s="3">
        <v>23</v>
      </c>
      <c r="B25" s="4">
        <v>28</v>
      </c>
      <c r="C25" s="4">
        <v>1</v>
      </c>
      <c r="D25" s="5" t="s">
        <v>22</v>
      </c>
      <c r="E25" s="5"/>
      <c r="F25" s="6" t="s">
        <v>88</v>
      </c>
      <c r="G25" s="7" t="s">
        <v>85</v>
      </c>
      <c r="H25" s="7" t="s">
        <v>89</v>
      </c>
      <c r="I25" s="7" t="s">
        <v>68</v>
      </c>
      <c r="J25" s="7"/>
      <c r="K25" s="7" t="s">
        <v>27</v>
      </c>
      <c r="L25" s="7" t="s">
        <v>28</v>
      </c>
      <c r="M25" s="11" t="s">
        <v>29</v>
      </c>
      <c r="N25" s="6" t="s">
        <v>30</v>
      </c>
      <c r="O25" s="5">
        <v>1</v>
      </c>
      <c r="P25" s="5" t="s">
        <v>22</v>
      </c>
      <c r="Q25" s="15">
        <v>120</v>
      </c>
      <c r="R25" s="16">
        <v>120</v>
      </c>
      <c r="S25" s="3">
        <f t="shared" si="0"/>
        <v>150</v>
      </c>
      <c r="T25" s="3">
        <f t="shared" si="1"/>
        <v>150</v>
      </c>
      <c r="U25" s="3">
        <f t="shared" si="2"/>
        <v>21.2765957446809</v>
      </c>
      <c r="V25">
        <f t="shared" si="3"/>
        <v>21.2765957446809</v>
      </c>
    </row>
    <row r="26" ht="38.4" spans="1:22">
      <c r="A26" s="3">
        <v>24</v>
      </c>
      <c r="B26" s="4">
        <v>29</v>
      </c>
      <c r="C26" s="4">
        <v>19</v>
      </c>
      <c r="D26" s="5" t="s">
        <v>22</v>
      </c>
      <c r="E26" s="5"/>
      <c r="F26" s="6" t="s">
        <v>90</v>
      </c>
      <c r="G26" s="7" t="s">
        <v>91</v>
      </c>
      <c r="H26" s="7" t="s">
        <v>92</v>
      </c>
      <c r="I26" s="7"/>
      <c r="J26" s="7" t="s">
        <v>93</v>
      </c>
      <c r="K26" s="7" t="s">
        <v>94</v>
      </c>
      <c r="L26" s="7" t="s">
        <v>95</v>
      </c>
      <c r="M26" s="11" t="s">
        <v>96</v>
      </c>
      <c r="N26" s="6" t="s">
        <v>30</v>
      </c>
      <c r="O26" s="5">
        <v>19</v>
      </c>
      <c r="P26" s="5" t="s">
        <v>22</v>
      </c>
      <c r="Q26" s="15">
        <v>60</v>
      </c>
      <c r="R26" s="16">
        <v>1140</v>
      </c>
      <c r="S26" s="3">
        <f t="shared" si="0"/>
        <v>75</v>
      </c>
      <c r="T26" s="3">
        <f t="shared" si="1"/>
        <v>1425</v>
      </c>
      <c r="U26" s="3">
        <f t="shared" si="2"/>
        <v>10.6382978723404</v>
      </c>
      <c r="V26">
        <f t="shared" si="3"/>
        <v>202.127659574468</v>
      </c>
    </row>
    <row r="27" ht="38.4" spans="1:22">
      <c r="A27" s="3">
        <v>25</v>
      </c>
      <c r="B27" s="4">
        <v>33</v>
      </c>
      <c r="C27" s="4">
        <v>77</v>
      </c>
      <c r="D27" s="5" t="s">
        <v>22</v>
      </c>
      <c r="E27" s="5"/>
      <c r="F27" s="6" t="s">
        <v>97</v>
      </c>
      <c r="G27" s="7" t="s">
        <v>98</v>
      </c>
      <c r="H27" s="7" t="s">
        <v>33</v>
      </c>
      <c r="I27" s="7" t="s">
        <v>34</v>
      </c>
      <c r="J27" s="7" t="s">
        <v>99</v>
      </c>
      <c r="K27" s="7" t="s">
        <v>100</v>
      </c>
      <c r="L27" s="7" t="s">
        <v>95</v>
      </c>
      <c r="M27" s="11" t="s">
        <v>101</v>
      </c>
      <c r="N27" s="6" t="s">
        <v>30</v>
      </c>
      <c r="O27" s="5">
        <v>77</v>
      </c>
      <c r="P27" s="5" t="s">
        <v>22</v>
      </c>
      <c r="Q27" s="15">
        <v>60</v>
      </c>
      <c r="R27" s="16">
        <v>4620</v>
      </c>
      <c r="S27" s="3">
        <f t="shared" si="0"/>
        <v>75</v>
      </c>
      <c r="T27" s="3">
        <f t="shared" si="1"/>
        <v>5775</v>
      </c>
      <c r="U27" s="3">
        <f t="shared" si="2"/>
        <v>10.6382978723404</v>
      </c>
      <c r="V27">
        <f t="shared" si="3"/>
        <v>819.148936170213</v>
      </c>
    </row>
    <row r="28" ht="38.4" spans="1:22">
      <c r="A28" s="3">
        <v>26</v>
      </c>
      <c r="B28" s="4">
        <v>34</v>
      </c>
      <c r="C28" s="4">
        <v>40</v>
      </c>
      <c r="D28" s="5" t="s">
        <v>22</v>
      </c>
      <c r="E28" s="5"/>
      <c r="F28" s="6" t="s">
        <v>102</v>
      </c>
      <c r="G28" s="7" t="s">
        <v>98</v>
      </c>
      <c r="H28" s="7" t="s">
        <v>25</v>
      </c>
      <c r="I28" s="7" t="s">
        <v>26</v>
      </c>
      <c r="J28" s="7" t="s">
        <v>99</v>
      </c>
      <c r="K28" s="7" t="s">
        <v>100</v>
      </c>
      <c r="L28" s="7" t="s">
        <v>95</v>
      </c>
      <c r="M28" s="7" t="s">
        <v>101</v>
      </c>
      <c r="N28" s="6" t="s">
        <v>30</v>
      </c>
      <c r="O28" s="5">
        <v>40</v>
      </c>
      <c r="P28" s="5" t="s">
        <v>22</v>
      </c>
      <c r="Q28" s="15">
        <v>73.3333333333333</v>
      </c>
      <c r="R28" s="16">
        <v>2933.33333333333</v>
      </c>
      <c r="S28" s="3">
        <f t="shared" si="0"/>
        <v>91.6666666666666</v>
      </c>
      <c r="T28" s="3">
        <f t="shared" si="1"/>
        <v>3666.66666666667</v>
      </c>
      <c r="U28" s="3">
        <f t="shared" si="2"/>
        <v>13.0023640661938</v>
      </c>
      <c r="V28">
        <f t="shared" si="3"/>
        <v>520.094562647754</v>
      </c>
    </row>
    <row r="29" ht="38.4" spans="1:22">
      <c r="A29" s="3">
        <v>27</v>
      </c>
      <c r="B29" s="4">
        <v>35</v>
      </c>
      <c r="C29" s="4">
        <v>27</v>
      </c>
      <c r="D29" s="5" t="s">
        <v>22</v>
      </c>
      <c r="E29" s="5"/>
      <c r="F29" s="6" t="s">
        <v>103</v>
      </c>
      <c r="G29" s="7" t="s">
        <v>98</v>
      </c>
      <c r="H29" s="7" t="s">
        <v>38</v>
      </c>
      <c r="I29" s="7" t="s">
        <v>39</v>
      </c>
      <c r="J29" s="7" t="s">
        <v>99</v>
      </c>
      <c r="K29" s="7" t="s">
        <v>100</v>
      </c>
      <c r="L29" s="7" t="s">
        <v>95</v>
      </c>
      <c r="M29" s="7" t="s">
        <v>101</v>
      </c>
      <c r="N29" s="6" t="s">
        <v>30</v>
      </c>
      <c r="O29" s="5">
        <v>27</v>
      </c>
      <c r="P29" s="5" t="s">
        <v>22</v>
      </c>
      <c r="Q29" s="15">
        <v>86.6666666666667</v>
      </c>
      <c r="R29" s="16">
        <v>2340</v>
      </c>
      <c r="S29" s="3">
        <f t="shared" si="0"/>
        <v>108.333333333333</v>
      </c>
      <c r="T29" s="3">
        <f t="shared" si="1"/>
        <v>2925</v>
      </c>
      <c r="U29" s="3">
        <f t="shared" si="2"/>
        <v>15.3664302600473</v>
      </c>
      <c r="V29">
        <f t="shared" si="3"/>
        <v>414.893617021277</v>
      </c>
    </row>
    <row r="30" ht="38.4" spans="1:22">
      <c r="A30" s="3">
        <v>28</v>
      </c>
      <c r="B30" s="4">
        <v>36</v>
      </c>
      <c r="C30" s="4">
        <v>1</v>
      </c>
      <c r="D30" s="5" t="s">
        <v>22</v>
      </c>
      <c r="E30" s="5"/>
      <c r="F30" s="6" t="s">
        <v>104</v>
      </c>
      <c r="G30" s="7" t="s">
        <v>98</v>
      </c>
      <c r="H30" s="7" t="s">
        <v>105</v>
      </c>
      <c r="I30" s="7" t="s">
        <v>106</v>
      </c>
      <c r="J30" s="7" t="s">
        <v>107</v>
      </c>
      <c r="K30" s="7" t="s">
        <v>100</v>
      </c>
      <c r="L30" s="7" t="s">
        <v>95</v>
      </c>
      <c r="M30" s="11" t="s">
        <v>101</v>
      </c>
      <c r="N30" s="6" t="s">
        <v>30</v>
      </c>
      <c r="O30" s="5">
        <v>1</v>
      </c>
      <c r="P30" s="5" t="s">
        <v>22</v>
      </c>
      <c r="Q30" s="15">
        <v>33.3333333333333</v>
      </c>
      <c r="R30" s="16">
        <v>33.3333333333333</v>
      </c>
      <c r="S30" s="3">
        <f t="shared" si="0"/>
        <v>41.6666666666666</v>
      </c>
      <c r="T30" s="3">
        <f t="shared" si="1"/>
        <v>41.6666666666666</v>
      </c>
      <c r="U30" s="3">
        <f t="shared" si="2"/>
        <v>5.91016548463356</v>
      </c>
      <c r="V30">
        <f t="shared" si="3"/>
        <v>5.91016548463356</v>
      </c>
    </row>
    <row r="31" ht="38.4" spans="1:22">
      <c r="A31" s="3">
        <v>29</v>
      </c>
      <c r="B31" s="4">
        <v>37</v>
      </c>
      <c r="C31" s="4">
        <v>15</v>
      </c>
      <c r="D31" s="5" t="s">
        <v>22</v>
      </c>
      <c r="E31" s="5"/>
      <c r="F31" s="6" t="s">
        <v>108</v>
      </c>
      <c r="G31" s="7" t="s">
        <v>98</v>
      </c>
      <c r="H31" s="7" t="s">
        <v>42</v>
      </c>
      <c r="I31" s="7" t="s">
        <v>34</v>
      </c>
      <c r="J31" s="7" t="s">
        <v>107</v>
      </c>
      <c r="K31" s="7" t="s">
        <v>100</v>
      </c>
      <c r="L31" s="7" t="s">
        <v>95</v>
      </c>
      <c r="M31" s="7" t="s">
        <v>101</v>
      </c>
      <c r="N31" s="6" t="s">
        <v>30</v>
      </c>
      <c r="O31" s="5">
        <v>15</v>
      </c>
      <c r="P31" s="5" t="s">
        <v>22</v>
      </c>
      <c r="Q31" s="15">
        <v>46.6666666666667</v>
      </c>
      <c r="R31" s="16">
        <v>700</v>
      </c>
      <c r="S31" s="3">
        <f t="shared" si="0"/>
        <v>58.3333333333334</v>
      </c>
      <c r="T31" s="3">
        <f t="shared" si="1"/>
        <v>875.000000000001</v>
      </c>
      <c r="U31" s="3">
        <f t="shared" si="2"/>
        <v>8.274231678487</v>
      </c>
      <c r="V31">
        <f t="shared" si="3"/>
        <v>124.113475177305</v>
      </c>
    </row>
    <row r="32" ht="38.4" spans="1:22">
      <c r="A32" s="3">
        <v>30</v>
      </c>
      <c r="B32" s="4">
        <v>38</v>
      </c>
      <c r="C32" s="4">
        <v>19</v>
      </c>
      <c r="D32" s="5" t="s">
        <v>22</v>
      </c>
      <c r="E32" s="5"/>
      <c r="F32" s="6" t="s">
        <v>109</v>
      </c>
      <c r="G32" s="7" t="s">
        <v>110</v>
      </c>
      <c r="H32" s="7" t="s">
        <v>92</v>
      </c>
      <c r="I32" s="7"/>
      <c r="J32" s="7" t="s">
        <v>93</v>
      </c>
      <c r="K32" s="7" t="s">
        <v>94</v>
      </c>
      <c r="L32" s="7" t="s">
        <v>95</v>
      </c>
      <c r="M32" s="11" t="s">
        <v>111</v>
      </c>
      <c r="N32" s="6" t="s">
        <v>30</v>
      </c>
      <c r="O32" s="5">
        <v>19</v>
      </c>
      <c r="P32" s="5" t="s">
        <v>22</v>
      </c>
      <c r="Q32" s="15">
        <v>46.6666666666667</v>
      </c>
      <c r="R32" s="16">
        <v>886.666666666667</v>
      </c>
      <c r="S32" s="3">
        <f t="shared" si="0"/>
        <v>58.3333333333334</v>
      </c>
      <c r="T32" s="3">
        <f t="shared" si="1"/>
        <v>1108.33333333333</v>
      </c>
      <c r="U32" s="3">
        <f t="shared" si="2"/>
        <v>8.274231678487</v>
      </c>
      <c r="V32">
        <f t="shared" si="3"/>
        <v>157.210401891253</v>
      </c>
    </row>
    <row r="33" ht="73.2" spans="1:22">
      <c r="A33" s="3">
        <v>31</v>
      </c>
      <c r="B33" s="4">
        <v>42</v>
      </c>
      <c r="C33" s="5">
        <v>2</v>
      </c>
      <c r="D33" s="5" t="s">
        <v>22</v>
      </c>
      <c r="E33" s="5"/>
      <c r="F33" s="6" t="s">
        <v>112</v>
      </c>
      <c r="G33" s="7" t="s">
        <v>113</v>
      </c>
      <c r="H33" s="7" t="s">
        <v>114</v>
      </c>
      <c r="I33" s="7"/>
      <c r="J33" s="7" t="s">
        <v>107</v>
      </c>
      <c r="K33" s="7" t="s">
        <v>115</v>
      </c>
      <c r="L33" s="7" t="s">
        <v>95</v>
      </c>
      <c r="M33" s="11" t="s">
        <v>116</v>
      </c>
      <c r="N33" s="6" t="s">
        <v>30</v>
      </c>
      <c r="O33" s="5">
        <v>2</v>
      </c>
      <c r="P33" s="5" t="s">
        <v>22</v>
      </c>
      <c r="Q33" s="17">
        <v>93.3333333333333</v>
      </c>
      <c r="R33" s="16">
        <v>186.666666666667</v>
      </c>
      <c r="S33" s="3">
        <f t="shared" si="0"/>
        <v>116.666666666667</v>
      </c>
      <c r="T33" s="3">
        <f t="shared" si="1"/>
        <v>233.333333333333</v>
      </c>
      <c r="U33" s="3">
        <f t="shared" si="2"/>
        <v>16.548463356974</v>
      </c>
      <c r="V33">
        <f t="shared" si="3"/>
        <v>33.096926713948</v>
      </c>
    </row>
    <row r="34" ht="34.8" spans="1:22">
      <c r="A34" s="3">
        <v>282</v>
      </c>
      <c r="B34" s="4">
        <v>1</v>
      </c>
      <c r="C34" s="4">
        <v>3</v>
      </c>
      <c r="D34" s="4" t="s">
        <v>117</v>
      </c>
      <c r="E34" s="4"/>
      <c r="F34" s="8" t="s">
        <v>31</v>
      </c>
      <c r="G34" s="7" t="s">
        <v>32</v>
      </c>
      <c r="H34" s="7" t="s">
        <v>33</v>
      </c>
      <c r="I34" s="7" t="s">
        <v>34</v>
      </c>
      <c r="J34" s="7"/>
      <c r="K34" s="7" t="s">
        <v>27</v>
      </c>
      <c r="L34" s="7" t="s">
        <v>118</v>
      </c>
      <c r="M34" s="11" t="s">
        <v>119</v>
      </c>
      <c r="N34" s="8" t="s">
        <v>120</v>
      </c>
      <c r="O34" s="5">
        <v>3</v>
      </c>
      <c r="P34" s="5" t="s">
        <v>22</v>
      </c>
      <c r="Q34" s="18">
        <v>20</v>
      </c>
      <c r="R34" s="16">
        <v>60</v>
      </c>
      <c r="S34" s="3">
        <f t="shared" si="0"/>
        <v>25</v>
      </c>
      <c r="T34" s="3">
        <f t="shared" si="1"/>
        <v>75</v>
      </c>
      <c r="U34" s="3">
        <f t="shared" si="2"/>
        <v>3.54609929078014</v>
      </c>
      <c r="V34">
        <f t="shared" si="3"/>
        <v>10.6382978723404</v>
      </c>
    </row>
    <row r="35" ht="38.4" spans="1:22">
      <c r="A35" s="3">
        <v>283</v>
      </c>
      <c r="B35" s="4">
        <v>2</v>
      </c>
      <c r="C35" s="4">
        <v>7</v>
      </c>
      <c r="D35" s="4" t="s">
        <v>117</v>
      </c>
      <c r="E35" s="4"/>
      <c r="F35" s="8" t="s">
        <v>36</v>
      </c>
      <c r="G35" s="7" t="s">
        <v>32</v>
      </c>
      <c r="H35" s="7" t="s">
        <v>25</v>
      </c>
      <c r="I35" s="7" t="s">
        <v>26</v>
      </c>
      <c r="J35" s="7"/>
      <c r="K35" s="7" t="s">
        <v>27</v>
      </c>
      <c r="L35" s="7" t="s">
        <v>118</v>
      </c>
      <c r="M35" s="7" t="s">
        <v>119</v>
      </c>
      <c r="N35" s="8" t="s">
        <v>120</v>
      </c>
      <c r="O35" s="5">
        <v>7</v>
      </c>
      <c r="P35" s="5" t="s">
        <v>22</v>
      </c>
      <c r="Q35" s="18">
        <v>33.3333333333333</v>
      </c>
      <c r="R35" s="16">
        <v>233.333333333333</v>
      </c>
      <c r="S35" s="3">
        <f t="shared" si="0"/>
        <v>41.6666666666666</v>
      </c>
      <c r="T35" s="3">
        <f t="shared" si="1"/>
        <v>291.666666666666</v>
      </c>
      <c r="U35" s="3">
        <f t="shared" si="2"/>
        <v>5.91016548463356</v>
      </c>
      <c r="V35">
        <f t="shared" si="3"/>
        <v>41.3711583924349</v>
      </c>
    </row>
    <row r="36" ht="38.4" spans="1:22">
      <c r="A36" s="3">
        <v>284</v>
      </c>
      <c r="B36" s="4">
        <v>3</v>
      </c>
      <c r="C36" s="4">
        <v>7</v>
      </c>
      <c r="D36" s="4" t="s">
        <v>117</v>
      </c>
      <c r="E36" s="4"/>
      <c r="F36" s="8" t="s">
        <v>37</v>
      </c>
      <c r="G36" s="7" t="s">
        <v>32</v>
      </c>
      <c r="H36" s="7" t="s">
        <v>38</v>
      </c>
      <c r="I36" s="7" t="s">
        <v>39</v>
      </c>
      <c r="J36" s="7"/>
      <c r="K36" s="7" t="s">
        <v>27</v>
      </c>
      <c r="L36" s="7" t="s">
        <v>118</v>
      </c>
      <c r="M36" s="7" t="s">
        <v>119</v>
      </c>
      <c r="N36" s="8" t="s">
        <v>120</v>
      </c>
      <c r="O36" s="5">
        <v>7</v>
      </c>
      <c r="P36" s="5" t="s">
        <v>22</v>
      </c>
      <c r="Q36" s="18">
        <v>53.3333333333333</v>
      </c>
      <c r="R36" s="16">
        <v>373.333333333333</v>
      </c>
      <c r="S36" s="3">
        <f t="shared" ref="S36:S53" si="4">Q36*1.25</f>
        <v>66.6666666666666</v>
      </c>
      <c r="T36" s="3">
        <f t="shared" ref="T36:T53" si="5">S36*O36</f>
        <v>466.666666666666</v>
      </c>
      <c r="U36" s="3">
        <f t="shared" ref="U36:U53" si="6">S36/7.05</f>
        <v>9.45626477541371</v>
      </c>
      <c r="V36">
        <f t="shared" ref="V36:V53" si="7">U36*O36</f>
        <v>66.1938534278959</v>
      </c>
    </row>
    <row r="37" ht="38.4" spans="1:22">
      <c r="A37" s="3">
        <v>285</v>
      </c>
      <c r="B37" s="4">
        <v>5</v>
      </c>
      <c r="C37" s="4">
        <v>17</v>
      </c>
      <c r="D37" s="4" t="s">
        <v>117</v>
      </c>
      <c r="E37" s="4"/>
      <c r="F37" s="8" t="s">
        <v>43</v>
      </c>
      <c r="G37" s="7" t="s">
        <v>41</v>
      </c>
      <c r="H37" s="7" t="s">
        <v>33</v>
      </c>
      <c r="I37" s="7" t="s">
        <v>34</v>
      </c>
      <c r="J37" s="7"/>
      <c r="K37" s="7" t="s">
        <v>27</v>
      </c>
      <c r="L37" s="7" t="s">
        <v>118</v>
      </c>
      <c r="M37" s="7" t="s">
        <v>119</v>
      </c>
      <c r="N37" s="8" t="s">
        <v>120</v>
      </c>
      <c r="O37" s="5">
        <v>17</v>
      </c>
      <c r="P37" s="5" t="s">
        <v>22</v>
      </c>
      <c r="Q37" s="18">
        <v>33.3333333333333</v>
      </c>
      <c r="R37" s="16">
        <v>566.666666666667</v>
      </c>
      <c r="S37" s="3">
        <f t="shared" si="4"/>
        <v>41.6666666666666</v>
      </c>
      <c r="T37" s="3">
        <f t="shared" si="5"/>
        <v>708.333333333333</v>
      </c>
      <c r="U37" s="3">
        <f t="shared" si="6"/>
        <v>5.91016548463356</v>
      </c>
      <c r="V37">
        <f t="shared" si="7"/>
        <v>100.472813238771</v>
      </c>
    </row>
    <row r="38" ht="38.4" spans="1:22">
      <c r="A38" s="3">
        <v>286</v>
      </c>
      <c r="B38" s="4">
        <v>6</v>
      </c>
      <c r="C38" s="4">
        <v>31</v>
      </c>
      <c r="D38" s="4" t="s">
        <v>117</v>
      </c>
      <c r="E38" s="4"/>
      <c r="F38" s="8" t="s">
        <v>44</v>
      </c>
      <c r="G38" s="7" t="s">
        <v>41</v>
      </c>
      <c r="H38" s="7" t="s">
        <v>25</v>
      </c>
      <c r="I38" s="7" t="s">
        <v>26</v>
      </c>
      <c r="J38" s="7"/>
      <c r="K38" s="7" t="s">
        <v>27</v>
      </c>
      <c r="L38" s="7" t="s">
        <v>118</v>
      </c>
      <c r="M38" s="7" t="s">
        <v>119</v>
      </c>
      <c r="N38" s="8" t="s">
        <v>120</v>
      </c>
      <c r="O38" s="5">
        <v>31</v>
      </c>
      <c r="P38" s="5" t="s">
        <v>22</v>
      </c>
      <c r="Q38" s="18">
        <v>46.6666666666667</v>
      </c>
      <c r="R38" s="16">
        <v>1446.66666666667</v>
      </c>
      <c r="S38" s="3">
        <f t="shared" si="4"/>
        <v>58.3333333333334</v>
      </c>
      <c r="T38" s="3">
        <f t="shared" si="5"/>
        <v>1808.33333333333</v>
      </c>
      <c r="U38" s="3">
        <f t="shared" si="6"/>
        <v>8.274231678487</v>
      </c>
      <c r="V38">
        <f t="shared" si="7"/>
        <v>256.501182033097</v>
      </c>
    </row>
    <row r="39" ht="38.4" spans="1:22">
      <c r="A39" s="3">
        <v>287</v>
      </c>
      <c r="B39" s="4">
        <v>7</v>
      </c>
      <c r="C39" s="4">
        <v>22</v>
      </c>
      <c r="D39" s="4" t="s">
        <v>117</v>
      </c>
      <c r="E39" s="4"/>
      <c r="F39" s="8" t="s">
        <v>45</v>
      </c>
      <c r="G39" s="7" t="s">
        <v>41</v>
      </c>
      <c r="H39" s="7" t="s">
        <v>38</v>
      </c>
      <c r="I39" s="7" t="s">
        <v>39</v>
      </c>
      <c r="J39" s="7"/>
      <c r="K39" s="7" t="s">
        <v>27</v>
      </c>
      <c r="L39" s="7" t="s">
        <v>118</v>
      </c>
      <c r="M39" s="7" t="s">
        <v>119</v>
      </c>
      <c r="N39" s="8" t="s">
        <v>120</v>
      </c>
      <c r="O39" s="5">
        <v>22</v>
      </c>
      <c r="P39" s="5" t="s">
        <v>22</v>
      </c>
      <c r="Q39" s="18">
        <v>80</v>
      </c>
      <c r="R39" s="16">
        <v>1760</v>
      </c>
      <c r="S39" s="3">
        <f t="shared" si="4"/>
        <v>100</v>
      </c>
      <c r="T39" s="3">
        <f t="shared" si="5"/>
        <v>2200</v>
      </c>
      <c r="U39" s="3">
        <f t="shared" si="6"/>
        <v>14.1843971631206</v>
      </c>
      <c r="V39">
        <f t="shared" si="7"/>
        <v>312.056737588652</v>
      </c>
    </row>
    <row r="40" ht="38.4" spans="1:22">
      <c r="A40" s="3">
        <v>288</v>
      </c>
      <c r="B40" s="4">
        <v>27</v>
      </c>
      <c r="C40" s="4">
        <v>36000</v>
      </c>
      <c r="D40" s="4" t="s">
        <v>73</v>
      </c>
      <c r="E40" s="5">
        <f>C40/1000</f>
        <v>36</v>
      </c>
      <c r="F40" s="8" t="s">
        <v>80</v>
      </c>
      <c r="G40" s="7" t="s">
        <v>75</v>
      </c>
      <c r="H40" s="7" t="s">
        <v>25</v>
      </c>
      <c r="I40" s="7" t="s">
        <v>26</v>
      </c>
      <c r="J40" s="7"/>
      <c r="K40" s="7" t="s">
        <v>76</v>
      </c>
      <c r="L40" s="7" t="s">
        <v>121</v>
      </c>
      <c r="M40" s="7" t="s">
        <v>122</v>
      </c>
      <c r="N40" s="8" t="s">
        <v>120</v>
      </c>
      <c r="O40" s="5">
        <v>6</v>
      </c>
      <c r="P40" s="5" t="s">
        <v>79</v>
      </c>
      <c r="Q40" s="18">
        <v>8777.77777777778</v>
      </c>
      <c r="R40" s="16">
        <v>2649.4704</v>
      </c>
      <c r="S40" s="3">
        <f>R40/O40*1.08</f>
        <v>476.904672</v>
      </c>
      <c r="T40" s="3">
        <f t="shared" si="5"/>
        <v>2861.428032</v>
      </c>
      <c r="U40" s="3">
        <f t="shared" si="6"/>
        <v>67.6460527659575</v>
      </c>
      <c r="V40">
        <f t="shared" si="7"/>
        <v>405.876316595745</v>
      </c>
    </row>
    <row r="41" ht="38.4" spans="1:22">
      <c r="A41" s="3">
        <v>289</v>
      </c>
      <c r="B41" s="4">
        <v>28</v>
      </c>
      <c r="C41" s="4">
        <v>26000</v>
      </c>
      <c r="D41" s="4" t="s">
        <v>73</v>
      </c>
      <c r="E41" s="5">
        <f>C41/1000</f>
        <v>26</v>
      </c>
      <c r="F41" s="8" t="s">
        <v>81</v>
      </c>
      <c r="G41" s="7" t="s">
        <v>75</v>
      </c>
      <c r="H41" s="7" t="s">
        <v>38</v>
      </c>
      <c r="I41" s="7" t="s">
        <v>39</v>
      </c>
      <c r="J41" s="7"/>
      <c r="K41" s="7" t="s">
        <v>76</v>
      </c>
      <c r="L41" s="7" t="s">
        <v>121</v>
      </c>
      <c r="M41" s="7" t="s">
        <v>122</v>
      </c>
      <c r="N41" s="8" t="s">
        <v>120</v>
      </c>
      <c r="O41" s="5">
        <v>5</v>
      </c>
      <c r="P41" s="5" t="s">
        <v>79</v>
      </c>
      <c r="Q41" s="18">
        <v>8777.77777777778</v>
      </c>
      <c r="R41" s="16">
        <v>3208.58658</v>
      </c>
      <c r="S41" s="3">
        <f>R41/O41*1.08</f>
        <v>693.05470128</v>
      </c>
      <c r="T41" s="3">
        <f t="shared" si="5"/>
        <v>3465.2735064</v>
      </c>
      <c r="U41" s="3">
        <f t="shared" si="6"/>
        <v>98.305631387234</v>
      </c>
      <c r="V41">
        <f t="shared" si="7"/>
        <v>491.52815693617</v>
      </c>
    </row>
    <row r="42" ht="38.4" spans="1:22">
      <c r="A42" s="3">
        <v>290</v>
      </c>
      <c r="B42" s="4">
        <v>38</v>
      </c>
      <c r="C42" s="4">
        <v>20</v>
      </c>
      <c r="D42" s="4" t="s">
        <v>117</v>
      </c>
      <c r="E42" s="4"/>
      <c r="F42" s="8" t="s">
        <v>102</v>
      </c>
      <c r="G42" s="7" t="s">
        <v>98</v>
      </c>
      <c r="H42" s="7" t="s">
        <v>25</v>
      </c>
      <c r="I42" s="7" t="s">
        <v>26</v>
      </c>
      <c r="J42" s="7" t="s">
        <v>99</v>
      </c>
      <c r="K42" s="7" t="s">
        <v>100</v>
      </c>
      <c r="L42" s="7" t="s">
        <v>95</v>
      </c>
      <c r="M42" s="11" t="s">
        <v>123</v>
      </c>
      <c r="N42" s="8" t="s">
        <v>120</v>
      </c>
      <c r="O42" s="5">
        <v>20</v>
      </c>
      <c r="P42" s="5" t="s">
        <v>22</v>
      </c>
      <c r="Q42" s="18">
        <v>73.3333333333333</v>
      </c>
      <c r="R42" s="16">
        <v>1466.66666666667</v>
      </c>
      <c r="S42" s="3">
        <f t="shared" si="4"/>
        <v>91.6666666666666</v>
      </c>
      <c r="T42" s="3">
        <f t="shared" si="5"/>
        <v>1833.33333333333</v>
      </c>
      <c r="U42" s="3">
        <f t="shared" si="6"/>
        <v>13.0023640661938</v>
      </c>
      <c r="V42">
        <f t="shared" si="7"/>
        <v>260.047281323877</v>
      </c>
    </row>
    <row r="43" ht="38.4" spans="1:22">
      <c r="A43" s="3">
        <v>291</v>
      </c>
      <c r="B43" s="4">
        <v>39</v>
      </c>
      <c r="C43" s="4">
        <v>9</v>
      </c>
      <c r="D43" s="4" t="s">
        <v>117</v>
      </c>
      <c r="E43" s="4"/>
      <c r="F43" s="8" t="s">
        <v>103</v>
      </c>
      <c r="G43" s="7" t="s">
        <v>98</v>
      </c>
      <c r="H43" s="7" t="s">
        <v>38</v>
      </c>
      <c r="I43" s="7" t="s">
        <v>39</v>
      </c>
      <c r="J43" s="7" t="s">
        <v>99</v>
      </c>
      <c r="K43" s="7" t="s">
        <v>100</v>
      </c>
      <c r="L43" s="7" t="s">
        <v>95</v>
      </c>
      <c r="M43" s="11" t="s">
        <v>53</v>
      </c>
      <c r="N43" s="8" t="s">
        <v>120</v>
      </c>
      <c r="O43" s="5">
        <v>9</v>
      </c>
      <c r="P43" s="5" t="s">
        <v>22</v>
      </c>
      <c r="Q43" s="18">
        <v>86.6666666666667</v>
      </c>
      <c r="R43" s="16">
        <v>780</v>
      </c>
      <c r="S43" s="3">
        <f t="shared" si="4"/>
        <v>108.333333333333</v>
      </c>
      <c r="T43" s="3">
        <f t="shared" si="5"/>
        <v>975</v>
      </c>
      <c r="U43" s="3">
        <f t="shared" si="6"/>
        <v>15.3664302600473</v>
      </c>
      <c r="V43">
        <f t="shared" si="7"/>
        <v>138.297872340426</v>
      </c>
    </row>
    <row r="44" ht="38.4" spans="1:22">
      <c r="A44" s="3">
        <v>292</v>
      </c>
      <c r="B44" s="4">
        <v>42</v>
      </c>
      <c r="C44" s="5">
        <v>19</v>
      </c>
      <c r="D44" s="5" t="s">
        <v>117</v>
      </c>
      <c r="E44" s="5"/>
      <c r="F44" s="6" t="s">
        <v>109</v>
      </c>
      <c r="G44" s="7" t="s">
        <v>110</v>
      </c>
      <c r="H44" s="7" t="s">
        <v>92</v>
      </c>
      <c r="I44" s="7"/>
      <c r="J44" s="7" t="s">
        <v>93</v>
      </c>
      <c r="K44" s="7" t="s">
        <v>94</v>
      </c>
      <c r="L44" s="7" t="s">
        <v>95</v>
      </c>
      <c r="M44" s="11" t="s">
        <v>124</v>
      </c>
      <c r="N44" s="6" t="s">
        <v>120</v>
      </c>
      <c r="O44" s="5">
        <v>19</v>
      </c>
      <c r="P44" s="5" t="s">
        <v>22</v>
      </c>
      <c r="Q44" s="17">
        <v>46.6666666666667</v>
      </c>
      <c r="R44" s="16">
        <v>886.666666666667</v>
      </c>
      <c r="S44" s="3">
        <f t="shared" si="4"/>
        <v>58.3333333333334</v>
      </c>
      <c r="T44" s="3">
        <f t="shared" si="5"/>
        <v>1108.33333333333</v>
      </c>
      <c r="U44" s="3">
        <f t="shared" si="6"/>
        <v>8.274231678487</v>
      </c>
      <c r="V44">
        <f t="shared" si="7"/>
        <v>157.210401891253</v>
      </c>
    </row>
    <row r="45" ht="73.2" spans="1:22">
      <c r="A45" s="3">
        <v>293</v>
      </c>
      <c r="B45" s="4">
        <v>46</v>
      </c>
      <c r="C45" s="5">
        <v>2</v>
      </c>
      <c r="D45" s="5" t="s">
        <v>117</v>
      </c>
      <c r="E45" s="5"/>
      <c r="F45" s="6" t="s">
        <v>112</v>
      </c>
      <c r="G45" s="7" t="s">
        <v>113</v>
      </c>
      <c r="H45" s="7" t="s">
        <v>114</v>
      </c>
      <c r="I45" s="7"/>
      <c r="J45" s="7" t="s">
        <v>107</v>
      </c>
      <c r="K45" s="7" t="s">
        <v>115</v>
      </c>
      <c r="L45" s="7" t="s">
        <v>95</v>
      </c>
      <c r="M45" s="11" t="s">
        <v>125</v>
      </c>
      <c r="N45" s="6" t="s">
        <v>120</v>
      </c>
      <c r="O45" s="5">
        <v>2</v>
      </c>
      <c r="P45" s="5" t="s">
        <v>22</v>
      </c>
      <c r="Q45" s="17">
        <v>93.3333333333333</v>
      </c>
      <c r="R45" s="16">
        <v>186.666666666667</v>
      </c>
      <c r="S45" s="3">
        <f t="shared" si="4"/>
        <v>116.666666666667</v>
      </c>
      <c r="T45" s="3">
        <f t="shared" si="5"/>
        <v>233.333333333333</v>
      </c>
      <c r="U45" s="3">
        <f t="shared" si="6"/>
        <v>16.548463356974</v>
      </c>
      <c r="V45">
        <f t="shared" si="7"/>
        <v>33.096926713948</v>
      </c>
    </row>
    <row r="46" ht="34.8" spans="1:22">
      <c r="A46" s="3">
        <v>419</v>
      </c>
      <c r="B46" s="4">
        <v>2</v>
      </c>
      <c r="C46" s="4">
        <v>2</v>
      </c>
      <c r="D46" s="4" t="s">
        <v>22</v>
      </c>
      <c r="E46" s="4"/>
      <c r="F46" s="8" t="s">
        <v>31</v>
      </c>
      <c r="G46" s="7" t="s">
        <v>32</v>
      </c>
      <c r="H46" s="7" t="s">
        <v>33</v>
      </c>
      <c r="I46" s="7" t="s">
        <v>34</v>
      </c>
      <c r="J46" s="7"/>
      <c r="K46" s="7" t="s">
        <v>27</v>
      </c>
      <c r="L46" s="7" t="s">
        <v>118</v>
      </c>
      <c r="M46" s="11" t="s">
        <v>126</v>
      </c>
      <c r="N46" s="8" t="s">
        <v>30</v>
      </c>
      <c r="O46" s="5">
        <v>2</v>
      </c>
      <c r="P46" s="5" t="s">
        <v>22</v>
      </c>
      <c r="Q46" s="18">
        <v>20</v>
      </c>
      <c r="R46" s="16">
        <v>40</v>
      </c>
      <c r="S46" s="3">
        <f t="shared" si="4"/>
        <v>25</v>
      </c>
      <c r="T46" s="3">
        <f t="shared" si="5"/>
        <v>50</v>
      </c>
      <c r="U46" s="3">
        <f t="shared" si="6"/>
        <v>3.54609929078014</v>
      </c>
      <c r="V46">
        <f t="shared" si="7"/>
        <v>7.09219858156028</v>
      </c>
    </row>
    <row r="47" ht="38.4" spans="1:22">
      <c r="A47" s="3">
        <v>420</v>
      </c>
      <c r="B47" s="4">
        <v>3</v>
      </c>
      <c r="C47" s="4">
        <v>7</v>
      </c>
      <c r="D47" s="4" t="s">
        <v>22</v>
      </c>
      <c r="E47" s="4"/>
      <c r="F47" s="8" t="s">
        <v>36</v>
      </c>
      <c r="G47" s="7" t="s">
        <v>32</v>
      </c>
      <c r="H47" s="7" t="s">
        <v>25</v>
      </c>
      <c r="I47" s="7" t="s">
        <v>26</v>
      </c>
      <c r="J47" s="7"/>
      <c r="K47" s="7" t="s">
        <v>27</v>
      </c>
      <c r="L47" s="7" t="s">
        <v>118</v>
      </c>
      <c r="M47" s="7" t="s">
        <v>126</v>
      </c>
      <c r="N47" s="8" t="s">
        <v>30</v>
      </c>
      <c r="O47" s="5">
        <v>7</v>
      </c>
      <c r="P47" s="5" t="s">
        <v>22</v>
      </c>
      <c r="Q47" s="18">
        <v>33.3333333333333</v>
      </c>
      <c r="R47" s="16">
        <v>233.333333333333</v>
      </c>
      <c r="S47" s="3">
        <f t="shared" si="4"/>
        <v>41.6666666666666</v>
      </c>
      <c r="T47" s="3">
        <f t="shared" si="5"/>
        <v>291.666666666666</v>
      </c>
      <c r="U47" s="3">
        <f t="shared" si="6"/>
        <v>5.91016548463356</v>
      </c>
      <c r="V47">
        <f t="shared" si="7"/>
        <v>41.3711583924349</v>
      </c>
    </row>
    <row r="48" ht="38.4" spans="1:22">
      <c r="A48" s="3">
        <v>421</v>
      </c>
      <c r="B48" s="4">
        <v>4</v>
      </c>
      <c r="C48" s="4">
        <v>6</v>
      </c>
      <c r="D48" s="4" t="s">
        <v>22</v>
      </c>
      <c r="E48" s="4"/>
      <c r="F48" s="8" t="s">
        <v>37</v>
      </c>
      <c r="G48" s="7" t="s">
        <v>32</v>
      </c>
      <c r="H48" s="7" t="s">
        <v>38</v>
      </c>
      <c r="I48" s="7" t="s">
        <v>39</v>
      </c>
      <c r="J48" s="7"/>
      <c r="K48" s="7" t="s">
        <v>27</v>
      </c>
      <c r="L48" s="7" t="s">
        <v>118</v>
      </c>
      <c r="M48" s="7" t="s">
        <v>126</v>
      </c>
      <c r="N48" s="8" t="s">
        <v>30</v>
      </c>
      <c r="O48" s="5">
        <v>6</v>
      </c>
      <c r="P48" s="5" t="s">
        <v>22</v>
      </c>
      <c r="Q48" s="18">
        <v>53.3333333333333</v>
      </c>
      <c r="R48" s="16">
        <v>320</v>
      </c>
      <c r="S48" s="3">
        <f t="shared" si="4"/>
        <v>66.6666666666666</v>
      </c>
      <c r="T48" s="3">
        <f t="shared" si="5"/>
        <v>400</v>
      </c>
      <c r="U48" s="3">
        <f t="shared" si="6"/>
        <v>9.45626477541371</v>
      </c>
      <c r="V48">
        <f t="shared" si="7"/>
        <v>56.7375886524822</v>
      </c>
    </row>
    <row r="49" ht="38.4" spans="1:22">
      <c r="A49" s="3">
        <v>422</v>
      </c>
      <c r="B49" s="4">
        <v>7</v>
      </c>
      <c r="C49" s="4">
        <v>2</v>
      </c>
      <c r="D49" s="4" t="s">
        <v>22</v>
      </c>
      <c r="E49" s="4"/>
      <c r="F49" s="8" t="s">
        <v>44</v>
      </c>
      <c r="G49" s="7" t="s">
        <v>41</v>
      </c>
      <c r="H49" s="7" t="s">
        <v>25</v>
      </c>
      <c r="I49" s="7" t="s">
        <v>26</v>
      </c>
      <c r="J49" s="7"/>
      <c r="K49" s="7" t="s">
        <v>27</v>
      </c>
      <c r="L49" s="7" t="s">
        <v>118</v>
      </c>
      <c r="M49" s="7" t="s">
        <v>126</v>
      </c>
      <c r="N49" s="8" t="s">
        <v>30</v>
      </c>
      <c r="O49" s="5">
        <v>2</v>
      </c>
      <c r="P49" s="5" t="s">
        <v>22</v>
      </c>
      <c r="Q49" s="18">
        <v>46.6666666666667</v>
      </c>
      <c r="R49" s="16">
        <v>93.3333333333333</v>
      </c>
      <c r="S49" s="3">
        <f t="shared" si="4"/>
        <v>58.3333333333334</v>
      </c>
      <c r="T49" s="3">
        <f t="shared" si="5"/>
        <v>116.666666666667</v>
      </c>
      <c r="U49" s="3">
        <f t="shared" si="6"/>
        <v>8.274231678487</v>
      </c>
      <c r="V49">
        <f t="shared" si="7"/>
        <v>16.548463356974</v>
      </c>
    </row>
    <row r="50" ht="38.4" spans="1:22">
      <c r="A50" s="3">
        <v>423</v>
      </c>
      <c r="B50" s="4">
        <v>8</v>
      </c>
      <c r="C50" s="4">
        <v>8</v>
      </c>
      <c r="D50" s="4" t="s">
        <v>22</v>
      </c>
      <c r="E50" s="4"/>
      <c r="F50" s="8" t="s">
        <v>45</v>
      </c>
      <c r="G50" s="7" t="s">
        <v>41</v>
      </c>
      <c r="H50" s="7" t="s">
        <v>38</v>
      </c>
      <c r="I50" s="7" t="s">
        <v>39</v>
      </c>
      <c r="J50" s="7"/>
      <c r="K50" s="7" t="s">
        <v>27</v>
      </c>
      <c r="L50" s="7" t="s">
        <v>118</v>
      </c>
      <c r="M50" s="7" t="s">
        <v>126</v>
      </c>
      <c r="N50" s="8" t="s">
        <v>30</v>
      </c>
      <c r="O50" s="5">
        <v>8</v>
      </c>
      <c r="P50" s="5" t="s">
        <v>22</v>
      </c>
      <c r="Q50" s="18">
        <v>80</v>
      </c>
      <c r="R50" s="16">
        <v>640</v>
      </c>
      <c r="S50" s="3">
        <f t="shared" si="4"/>
        <v>100</v>
      </c>
      <c r="T50" s="3">
        <f t="shared" si="5"/>
        <v>800</v>
      </c>
      <c r="U50" s="3">
        <f t="shared" si="6"/>
        <v>14.1843971631206</v>
      </c>
      <c r="V50">
        <f t="shared" si="7"/>
        <v>113.475177304965</v>
      </c>
    </row>
    <row r="51" ht="38.4" spans="1:22">
      <c r="A51" s="3">
        <v>424</v>
      </c>
      <c r="B51" s="4">
        <v>41</v>
      </c>
      <c r="C51" s="4">
        <v>20</v>
      </c>
      <c r="D51" s="4" t="s">
        <v>22</v>
      </c>
      <c r="E51" s="4"/>
      <c r="F51" s="8" t="s">
        <v>102</v>
      </c>
      <c r="G51" s="7" t="s">
        <v>98</v>
      </c>
      <c r="H51" s="7" t="s">
        <v>25</v>
      </c>
      <c r="I51" s="7" t="s">
        <v>26</v>
      </c>
      <c r="J51" s="7" t="s">
        <v>99</v>
      </c>
      <c r="K51" s="7" t="s">
        <v>100</v>
      </c>
      <c r="L51" s="7" t="s">
        <v>95</v>
      </c>
      <c r="M51" s="7" t="s">
        <v>127</v>
      </c>
      <c r="N51" s="8" t="s">
        <v>30</v>
      </c>
      <c r="O51" s="5">
        <v>20</v>
      </c>
      <c r="P51" s="5" t="s">
        <v>22</v>
      </c>
      <c r="Q51" s="18">
        <v>73.3333333333333</v>
      </c>
      <c r="R51" s="16">
        <v>1466.66666666667</v>
      </c>
      <c r="S51" s="3">
        <f t="shared" si="4"/>
        <v>91.6666666666666</v>
      </c>
      <c r="T51" s="3">
        <f t="shared" si="5"/>
        <v>1833.33333333333</v>
      </c>
      <c r="U51" s="3">
        <f t="shared" si="6"/>
        <v>13.0023640661938</v>
      </c>
      <c r="V51">
        <f t="shared" si="7"/>
        <v>260.047281323877</v>
      </c>
    </row>
    <row r="52" ht="73.2" spans="1:22">
      <c r="A52" s="3">
        <v>425</v>
      </c>
      <c r="B52" s="4">
        <v>50</v>
      </c>
      <c r="C52" s="4">
        <v>2</v>
      </c>
      <c r="D52" s="4" t="s">
        <v>22</v>
      </c>
      <c r="E52" s="4"/>
      <c r="F52" s="8" t="s">
        <v>112</v>
      </c>
      <c r="G52" s="7" t="s">
        <v>113</v>
      </c>
      <c r="H52" s="7" t="s">
        <v>114</v>
      </c>
      <c r="I52" s="7"/>
      <c r="J52" s="7" t="s">
        <v>107</v>
      </c>
      <c r="K52" s="7" t="s">
        <v>115</v>
      </c>
      <c r="L52" s="7" t="s">
        <v>95</v>
      </c>
      <c r="M52" s="11" t="s">
        <v>128</v>
      </c>
      <c r="N52" s="8" t="s">
        <v>30</v>
      </c>
      <c r="O52" s="5">
        <v>2</v>
      </c>
      <c r="P52" s="5" t="s">
        <v>22</v>
      </c>
      <c r="Q52" s="18">
        <v>93.3333333333333</v>
      </c>
      <c r="R52" s="16">
        <v>186.666666666667</v>
      </c>
      <c r="S52" s="3">
        <f t="shared" si="4"/>
        <v>116.666666666667</v>
      </c>
      <c r="T52" s="3">
        <f t="shared" si="5"/>
        <v>233.333333333333</v>
      </c>
      <c r="U52" s="3">
        <f t="shared" si="6"/>
        <v>16.548463356974</v>
      </c>
      <c r="V52">
        <f t="shared" si="7"/>
        <v>33.096926713948</v>
      </c>
    </row>
    <row r="53" spans="17:22">
      <c r="Q53" s="19"/>
      <c r="R53" s="19">
        <v>88041.3963504</v>
      </c>
      <c r="S53" s="3"/>
      <c r="T53" s="3">
        <f>SUM(T3:T52)</f>
        <v>101990.108058432</v>
      </c>
      <c r="U53" s="3" t="s">
        <v>129</v>
      </c>
      <c r="V53">
        <f>SUM(V3:V52)</f>
        <v>14466.6819941038</v>
      </c>
    </row>
    <row r="57" ht="15.6" spans="14:14">
      <c r="N57" s="12" t="s">
        <v>130</v>
      </c>
    </row>
    <row r="58" spans="7:8">
      <c r="G58" s="9" t="s">
        <v>131</v>
      </c>
      <c r="H58" s="10"/>
    </row>
    <row r="59" spans="7:8">
      <c r="G59" s="10"/>
      <c r="H59" s="10"/>
    </row>
    <row r="60" spans="7:8">
      <c r="G60" s="10"/>
      <c r="H60" s="10"/>
    </row>
    <row r="61" spans="7:8">
      <c r="G61" s="10"/>
      <c r="H61" s="10"/>
    </row>
    <row r="62" spans="7:8">
      <c r="G62" s="10"/>
      <c r="H62" s="10"/>
    </row>
    <row r="63" spans="7:8">
      <c r="G63" s="10"/>
      <c r="H63" s="10"/>
    </row>
    <row r="64" spans="7:8">
      <c r="G64" s="10"/>
      <c r="H64" s="10"/>
    </row>
    <row r="68" spans="14:15">
      <c r="N68" s="9" t="s">
        <v>131</v>
      </c>
      <c r="O68" s="10"/>
    </row>
    <row r="69" spans="14:15">
      <c r="N69" s="10"/>
      <c r="O69" s="10"/>
    </row>
    <row r="70" spans="14:15">
      <c r="N70" s="10"/>
      <c r="O70" s="10"/>
    </row>
    <row r="71" spans="14:15">
      <c r="N71" s="10"/>
      <c r="O71" s="10"/>
    </row>
    <row r="72" spans="14:15">
      <c r="N72" s="10"/>
      <c r="O72" s="10"/>
    </row>
    <row r="73" spans="14:15">
      <c r="N73" s="10"/>
      <c r="O73" s="10"/>
    </row>
    <row r="74" spans="14:15">
      <c r="N74" s="10"/>
      <c r="O74" s="10"/>
    </row>
  </sheetData>
  <autoFilter xmlns:etc="http://www.wps.cn/officeDocument/2017/etCustomData" ref="A2:V53" etc:filterBottomFollowUsedRange="0">
    <extLst/>
  </autoFilter>
  <mergeCells count="3">
    <mergeCell ref="R1:S1"/>
    <mergeCell ref="G58:H64"/>
    <mergeCell ref="N68:O74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6421FB7-B337-4751-B83B-6ADACA87AA61}">
  <ds:schemaRefs/>
</ds:datastoreItem>
</file>

<file path=customXml/itemProps2.xml><?xml version="1.0" encoding="utf-8"?>
<ds:datastoreItem xmlns:ds="http://schemas.openxmlformats.org/officeDocument/2006/customXml" ds:itemID="{6955476F-C015-4983-A111-DE8D469328A0}">
  <ds:schemaRefs/>
</ds:datastoreItem>
</file>

<file path=customXml/itemProps3.xml><?xml version="1.0" encoding="utf-8"?>
<ds:datastoreItem xmlns:ds="http://schemas.openxmlformats.org/officeDocument/2006/customXml" ds:itemID="{BA48DFC2-57BD-484E-8724-5CF19E6CF4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See Hui</dc:creator>
  <cp:lastModifiedBy>Administrator</cp:lastModifiedBy>
  <dcterms:created xsi:type="dcterms:W3CDTF">2025-10-08T00:54:00Z</dcterms:created>
  <dcterms:modified xsi:type="dcterms:W3CDTF">2025-10-24T09:58:30Z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0x0101004EC5CBD40CB9464EBC9A7CA29481DCCC</vt:lpwstr>
  </property>
  <property fmtid="{D5CDD505-2E9C-101B-9397-08002B2CF9AE}" pid="3" name="MediaServiceImageTags">
    <vt:lpwstr/>
  </property>
  <property fmtid="{D5CDD505-2E9C-101B-9397-08002B2CF9AE}" pid="4" name="ICV">
    <vt:lpwstr>2D5C68E076254C1EAF88F1E3F0BD1AE7_13</vt:lpwstr>
  </property>
  <property fmtid="{D5CDD505-2E9C-101B-9397-08002B2CF9AE}" pid="5" name="KSOProductBuildVer">
    <vt:lpwstr>2052-12.1.0.23125</vt:lpwstr>
  </property>
</Properties>
</file>