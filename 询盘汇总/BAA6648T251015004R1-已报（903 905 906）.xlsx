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N25906-J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<sst xmlns="http://schemas.openxmlformats.org/spreadsheetml/2006/main" count="119" uniqueCount="76">
  <si>
    <t>Currency</t>
  </si>
  <si>
    <t>Item of requisition</t>
  </si>
  <si>
    <t>Description 1</t>
  </si>
  <si>
    <t>Description 3</t>
  </si>
  <si>
    <t>产品</t>
  </si>
  <si>
    <t>尺寸</t>
  </si>
  <si>
    <t>标准</t>
  </si>
  <si>
    <t>压力</t>
  </si>
  <si>
    <t>材质</t>
  </si>
  <si>
    <t>备注</t>
  </si>
  <si>
    <t>Quantity requested</t>
  </si>
  <si>
    <t>Unit of Measure</t>
  </si>
  <si>
    <t xml:space="preserve">Unit price </t>
  </si>
  <si>
    <t>Total price</t>
  </si>
  <si>
    <t>Mill</t>
  </si>
  <si>
    <t xml:space="preserve">delivery lead time </t>
  </si>
  <si>
    <t>单价</t>
  </si>
  <si>
    <t>总价</t>
  </si>
  <si>
    <t>报价美元单价</t>
  </si>
  <si>
    <t>美元总价</t>
  </si>
  <si>
    <t>10</t>
  </si>
  <si>
    <t>1" Half Cplg.,</t>
  </si>
  <si>
    <t>B16.11, CL 3000, FTE (NPT), P285NH to EN 10222-4</t>
  </si>
  <si>
    <t>半管箍（Half Coupling）</t>
  </si>
  <si>
    <t>1 英寸</t>
  </si>
  <si>
    <t>ASME B16.11</t>
  </si>
  <si>
    <t>CL 3000（3000 级）</t>
  </si>
  <si>
    <t>P285NH（符合 EN 10222-4 标准）</t>
  </si>
  <si>
    <t>连接形式为 FTE（内螺纹），螺纹类型为 NPT</t>
  </si>
  <si>
    <t>PC</t>
  </si>
  <si>
    <t>80</t>
  </si>
  <si>
    <t>1.5" x 0.5" Red. Thd. Flg.,</t>
  </si>
  <si>
    <t>Manf. Std. to EN 1092-1, PN40, RF x FTE (NPTF), P285NH to EN 10222-4</t>
  </si>
  <si>
    <t>异径螺纹法兰（Reducing Threaded Flange）</t>
  </si>
  <si>
    <t>1.5 英寸 × 0.5 英寸</t>
  </si>
  <si>
    <t xml:space="preserve"> EN 1092-1</t>
  </si>
  <si>
    <t>PN40</t>
  </si>
  <si>
    <t>连接形式为 RF（凸面）× FTE（内螺纹），螺纹类型为 NPTF</t>
  </si>
  <si>
    <t>3" X 1/2" Red. Thd. Flg.,</t>
  </si>
  <si>
    <t>EN 1092-1, PN16, RF x FTE (BSPP), Wst 1.4401/1.4404 to EN 10222-5</t>
  </si>
  <si>
    <t>异径螺纹法兰（Red. Thd. Flg.）</t>
  </si>
  <si>
    <t>3 英寸 × 1/2 英寸</t>
  </si>
  <si>
    <t>EN 1092-1</t>
  </si>
  <si>
    <t>PN16</t>
  </si>
  <si>
    <r>
      <rPr>
        <sz val="12"/>
        <color rgb="FF000000"/>
        <rFont val="Segoe UI"/>
        <charset val="134"/>
      </rPr>
      <t>1.4401/1.4404</t>
    </r>
    <r>
      <rPr>
        <sz val="12"/>
        <color rgb="FF000000"/>
        <rFont val="宋体"/>
        <charset val="134"/>
      </rPr>
      <t>（符合</t>
    </r>
    <r>
      <rPr>
        <sz val="12"/>
        <color rgb="FF000000"/>
        <rFont val="Segoe UI"/>
        <charset val="134"/>
      </rPr>
      <t xml:space="preserve"> EN 10222-5</t>
    </r>
    <r>
      <rPr>
        <sz val="12"/>
        <color rgb="FF000000"/>
        <rFont val="宋体"/>
        <charset val="134"/>
      </rPr>
      <t>）</t>
    </r>
  </si>
  <si>
    <t>连接形式：RF（凸面）× FTE（内螺纹），螺纹类型为 BSPP（平行管螺纹）</t>
  </si>
  <si>
    <t>20</t>
  </si>
  <si>
    <t>3/4" x 1/2" Reducing Cplg,</t>
  </si>
  <si>
    <t>ISO 4144, BWE X BSPP SE, Wst 1.4401/1.4404 to EN 10213-4</t>
  </si>
  <si>
    <t>异径管箍（Reducing Cplg）</t>
  </si>
  <si>
    <t>3/4 英寸 × 1/2 英寸</t>
  </si>
  <si>
    <t>ISO 4144</t>
  </si>
  <si>
    <r>
      <rPr>
        <sz val="12"/>
        <color rgb="FF000000"/>
        <rFont val="Segoe UI"/>
        <charset val="134"/>
      </rPr>
      <t>1.4401/1.4404</t>
    </r>
    <r>
      <rPr>
        <sz val="12"/>
        <color rgb="FF000000"/>
        <rFont val="宋体"/>
        <charset val="134"/>
      </rPr>
      <t>（符合</t>
    </r>
    <r>
      <rPr>
        <sz val="12"/>
        <color rgb="FF000000"/>
        <rFont val="Segoe UI"/>
        <charset val="134"/>
      </rPr>
      <t xml:space="preserve"> EN 10213-4</t>
    </r>
    <r>
      <rPr>
        <sz val="12"/>
        <color rgb="FF000000"/>
        <rFont val="宋体"/>
        <charset val="134"/>
      </rPr>
      <t>）</t>
    </r>
  </si>
  <si>
    <t>连接形式：BWE（对焊端）× BSPP SE（外螺纹端），螺纹为平行管螺纹</t>
  </si>
  <si>
    <t>确认一下是内螺纹还是外螺纹，以及长度是多少</t>
  </si>
  <si>
    <t>30</t>
  </si>
  <si>
    <t>2" x 1/2" Red. Thd. Flg.,</t>
  </si>
  <si>
    <t>EN 1092-1, PN16, RF x FTE (NPT), Wst 1.4401/1.4404 to EN 10222-5</t>
  </si>
  <si>
    <t>2 英寸 × 1/2 英寸</t>
  </si>
  <si>
    <t>连接形式：RF（凸面）× FTE（内螺纹），螺纹类型为 NPT（锥管螺纹）</t>
  </si>
  <si>
    <t>40</t>
  </si>
  <si>
    <t>3/4" Cplg., ISO 4144,</t>
  </si>
  <si>
    <t>FTE (BSPP), Wst 1.4408 to EN 10213-4</t>
  </si>
  <si>
    <r>
      <rPr>
        <sz val="12"/>
        <color rgb="FF000000"/>
        <rFont val="宋体"/>
        <charset val="134"/>
      </rPr>
      <t>管箍（</t>
    </r>
    <r>
      <rPr>
        <sz val="12"/>
        <color rgb="FF000000"/>
        <rFont val="Segoe UI"/>
        <charset val="134"/>
      </rPr>
      <t>Cplg.</t>
    </r>
    <r>
      <rPr>
        <sz val="12"/>
        <color rgb="FF000000"/>
        <rFont val="宋体"/>
        <charset val="134"/>
      </rPr>
      <t>）</t>
    </r>
  </si>
  <si>
    <t>3/4 英寸</t>
  </si>
  <si>
    <r>
      <rPr>
        <sz val="12"/>
        <color rgb="FF000000"/>
        <rFont val="Segoe UI"/>
        <charset val="134"/>
      </rPr>
      <t>1.4408</t>
    </r>
    <r>
      <rPr>
        <sz val="12"/>
        <color rgb="FF000000"/>
        <rFont val="宋体"/>
        <charset val="134"/>
      </rPr>
      <t>（符合</t>
    </r>
    <r>
      <rPr>
        <sz val="12"/>
        <color rgb="FF000000"/>
        <rFont val="Segoe UI"/>
        <charset val="134"/>
      </rPr>
      <t xml:space="preserve"> EN 10213-4</t>
    </r>
    <r>
      <rPr>
        <sz val="12"/>
        <color rgb="FF000000"/>
        <rFont val="宋体"/>
        <charset val="134"/>
      </rPr>
      <t>）</t>
    </r>
  </si>
  <si>
    <t>连接形式：FTE（内螺纹），螺纹类型为 BSPP（平行管螺纹）</t>
  </si>
  <si>
    <t>50</t>
  </si>
  <si>
    <t>1" Plate Flange,</t>
  </si>
  <si>
    <t>EN 1092-1, PN40, RFFE, Wst 1.4401/1.4404 to EN 10222-5</t>
  </si>
  <si>
    <t>平板法兰（Plate Flange）</t>
  </si>
  <si>
    <t>密封面形式：RFFE（凸面全平面，行业通用简称，适配不同密封需求）</t>
  </si>
  <si>
    <t>Manf. Std. to EN 1092-1, PN40, RF x FTE (NPTF), Wst 1.4410 to EN 10222-5</t>
  </si>
  <si>
    <r>
      <rPr>
        <sz val="12"/>
        <color rgb="FF000000"/>
        <rFont val="Segoe UI"/>
        <charset val="134"/>
      </rPr>
      <t xml:space="preserve"> 1.4410</t>
    </r>
    <r>
      <rPr>
        <sz val="12"/>
        <color rgb="FF000000"/>
        <rFont val="宋体"/>
        <charset val="134"/>
      </rPr>
      <t>（符合</t>
    </r>
    <r>
      <rPr>
        <sz val="12"/>
        <color rgb="FF000000"/>
        <rFont val="Segoe UI"/>
        <charset val="134"/>
      </rPr>
      <t xml:space="preserve"> EN 10222-5 </t>
    </r>
    <r>
      <rPr>
        <sz val="12"/>
        <color rgb="FF000000"/>
        <rFont val="宋体"/>
        <charset val="134"/>
      </rPr>
      <t>标准）</t>
    </r>
  </si>
  <si>
    <t>连接形式：FTE（内螺纹端），螺纹类型NPTF（干密封锥管螺纹）</t>
  </si>
  <si>
    <r>
      <rPr>
        <sz val="10"/>
        <rFont val="宋体"/>
        <charset val="134"/>
      </rPr>
      <t>含税出厂交期</t>
    </r>
    <r>
      <rPr>
        <sz val="10"/>
        <rFont val="Arial"/>
        <charset val="134"/>
      </rPr>
      <t xml:space="preserve">50
2025/10/21
</t>
    </r>
    <r>
      <rPr>
        <sz val="10"/>
        <rFont val="宋体"/>
        <charset val="134"/>
      </rPr>
      <t>李宁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</si>
</sst>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2" borderId="1" xfId="0" applyFont="1" applyFill="1" applyBorder="1" applyAlignment="1">
      <alignment vertical="top" wrapText="1"/>
    </xf>
    <xf numFmtId="0" fontId="0" fillId="2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3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0" fillId="0" borderId="0" xfId="0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4" borderId="4" xfId="0" applyFill="1" applyBorder="1" applyAlignment="1">
      <alignment horizontal="center" vertical="center"/>
    </xf>
    <xf numFmtId="3" fontId="0" fillId="2" borderId="1" xfId="49" applyNumberFormat="1" applyFill="1" applyBorder="1" applyAlignment="1">
      <alignment horizontal="center" vertical="center" wrapText="1"/>
    </xf>
    <xf numFmtId="0" fontId="0" fillId="2" borderId="1" xfId="49" applyFill="1" applyBorder="1" applyAlignment="1">
      <alignment horizontal="center" vertical="center" wrapText="1"/>
    </xf>
    <xf numFmtId="43" fontId="0" fillId="0" borderId="0" xfId="0" applyNumberFormat="1" applyAlignment="1">
      <alignment vertical="top"/>
    </xf>
    <xf numFmtId="3" fontId="0" fillId="0" borderId="1" xfId="0" applyNumberFormat="1" applyBorder="1" applyAlignment="1">
      <alignment horizontal="right" vertical="top"/>
    </xf>
    <xf numFmtId="3" fontId="0" fillId="2" borderId="1" xfId="49" applyNumberFormat="1" applyFont="1" applyFill="1" applyBorder="1" applyAlignment="1">
      <alignment horizontal="center" vertical="center" wrapText="1"/>
    </xf>
    <xf numFmtId="0" fontId="0" fillId="2" borderId="1" xfId="49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right" vertical="top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zoomScale="80" zoomScaleNormal="80" topLeftCell="C1" workbookViewId="0">
      <selection activeCell="Q13" sqref="Q13"/>
    </sheetView>
  </sheetViews>
  <sheetFormatPr defaultColWidth="9" defaultRowHeight="23" customHeight="1"/>
  <cols>
    <col min="1" max="1" width="8.42592592592593" style="1" customWidth="1"/>
    <col min="2" max="2" width="23.287037037037" style="1" customWidth="1"/>
    <col min="3" max="3" width="75.287037037037" style="1" customWidth="1"/>
    <col min="4" max="9" width="13.6666666666667" style="1" customWidth="1"/>
    <col min="10" max="10" width="9.13888888888889" style="1"/>
    <col min="11" max="11" width="8.13888888888889" style="1" customWidth="1"/>
    <col min="12" max="12" width="8.85185185185185" style="1" customWidth="1"/>
    <col min="13" max="13" width="5" style="1" customWidth="1"/>
    <col min="14" max="14" width="3.85185185185185" style="1" customWidth="1"/>
    <col min="15" max="15" width="8.57407407407407" style="1" customWidth="1"/>
    <col min="16" max="16" width="9.13888888888889" style="1"/>
    <col min="17" max="18" width="11" style="1"/>
    <col min="19" max="20" width="12.8888888888889" style="1"/>
    <col min="21" max="16384" width="9.13888888888889" style="1"/>
  </cols>
  <sheetData>
    <row r="1" customHeight="1" spans="12:13">
      <c r="L1" s="17" t="s">
        <v>0</v>
      </c>
      <c r="M1" s="17"/>
    </row>
    <row r="2" customHeight="1" spans="1:20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2" t="s">
        <v>10</v>
      </c>
      <c r="K2" s="2" t="s">
        <v>11</v>
      </c>
      <c r="L2" s="18" t="s">
        <v>12</v>
      </c>
      <c r="M2" s="18" t="s">
        <v>13</v>
      </c>
      <c r="N2" s="19" t="s">
        <v>14</v>
      </c>
      <c r="O2" s="19" t="s">
        <v>15</v>
      </c>
      <c r="P2" s="20" t="s">
        <v>16</v>
      </c>
      <c r="Q2" s="20" t="s">
        <v>17</v>
      </c>
      <c r="R2" s="20"/>
      <c r="S2" s="26" t="s">
        <v>18</v>
      </c>
      <c r="T2" s="26" t="s">
        <v>19</v>
      </c>
    </row>
    <row r="3" customHeight="1" spans="1:20">
      <c r="A3" s="5" t="s">
        <v>20</v>
      </c>
      <c r="B3" s="5" t="s">
        <v>21</v>
      </c>
      <c r="C3" s="5" t="s">
        <v>22</v>
      </c>
      <c r="D3" s="6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21">
        <v>19</v>
      </c>
      <c r="K3" s="5" t="s">
        <v>29</v>
      </c>
      <c r="L3" s="5"/>
      <c r="M3" s="5"/>
      <c r="N3" s="5"/>
      <c r="O3" s="5"/>
      <c r="P3" s="20">
        <v>103.448275862069</v>
      </c>
      <c r="Q3" s="20">
        <v>1965.51724137931</v>
      </c>
      <c r="R3" s="20"/>
      <c r="S3" s="1">
        <f>P3*1.25/7.05</f>
        <v>18.3418928833456</v>
      </c>
      <c r="T3" s="1">
        <f>S3*J3</f>
        <v>348.495964783566</v>
      </c>
    </row>
    <row r="4" customHeight="1" spans="1:20">
      <c r="A4" s="5" t="s">
        <v>30</v>
      </c>
      <c r="B4" s="5" t="s">
        <v>31</v>
      </c>
      <c r="C4" s="5" t="s">
        <v>32</v>
      </c>
      <c r="D4" s="6" t="s">
        <v>33</v>
      </c>
      <c r="E4" s="7" t="s">
        <v>34</v>
      </c>
      <c r="F4" s="7" t="s">
        <v>35</v>
      </c>
      <c r="G4" s="7" t="s">
        <v>36</v>
      </c>
      <c r="H4" s="7" t="s">
        <v>27</v>
      </c>
      <c r="I4" s="7" t="s">
        <v>37</v>
      </c>
      <c r="J4" s="21">
        <v>2</v>
      </c>
      <c r="K4" s="5" t="s">
        <v>29</v>
      </c>
      <c r="L4" s="5"/>
      <c r="M4" s="5"/>
      <c r="N4" s="5"/>
      <c r="O4" s="5"/>
      <c r="P4" s="20">
        <v>206.896551724138</v>
      </c>
      <c r="Q4" s="20">
        <v>413.793103448276</v>
      </c>
      <c r="R4" s="20"/>
      <c r="S4" s="1">
        <f>P4*1.25/7.05</f>
        <v>36.6837857666911</v>
      </c>
      <c r="T4" s="1">
        <f>S4*J4</f>
        <v>73.3675715333823</v>
      </c>
    </row>
    <row r="5" customHeight="1" spans="1:19">
      <c r="A5" s="8" t="s">
        <v>1</v>
      </c>
      <c r="B5" s="9" t="s">
        <v>2</v>
      </c>
      <c r="C5" s="9" t="s">
        <v>3</v>
      </c>
      <c r="D5" s="9"/>
      <c r="E5" s="9"/>
      <c r="F5" s="9"/>
      <c r="G5" s="9"/>
      <c r="H5" s="9"/>
      <c r="I5" s="9"/>
      <c r="J5" s="8" t="s">
        <v>10</v>
      </c>
      <c r="K5" s="8" t="s">
        <v>11</v>
      </c>
      <c r="L5" s="22" t="s">
        <v>12</v>
      </c>
      <c r="M5" s="22" t="s">
        <v>13</v>
      </c>
      <c r="N5" s="23" t="s">
        <v>14</v>
      </c>
      <c r="O5" s="23" t="s">
        <v>15</v>
      </c>
      <c r="P5" s="20"/>
      <c r="Q5" s="20"/>
      <c r="R5" s="20"/>
      <c r="S5" s="1">
        <f t="shared" ref="S5:S10" si="0">P5*1.25/7.05</f>
        <v>0</v>
      </c>
    </row>
    <row r="6" customHeight="1" spans="1:20">
      <c r="A6" s="10" t="s">
        <v>20</v>
      </c>
      <c r="B6" s="10" t="s">
        <v>38</v>
      </c>
      <c r="C6" s="10" t="s">
        <v>39</v>
      </c>
      <c r="D6" s="6" t="s">
        <v>40</v>
      </c>
      <c r="E6" s="7" t="s">
        <v>41</v>
      </c>
      <c r="F6" s="7" t="s">
        <v>42</v>
      </c>
      <c r="G6" s="7" t="s">
        <v>43</v>
      </c>
      <c r="H6" s="7" t="s">
        <v>44</v>
      </c>
      <c r="I6" s="7" t="s">
        <v>45</v>
      </c>
      <c r="J6" s="24">
        <v>10</v>
      </c>
      <c r="K6" s="10" t="s">
        <v>29</v>
      </c>
      <c r="L6" s="10"/>
      <c r="M6" s="10"/>
      <c r="N6" s="10"/>
      <c r="O6" s="10"/>
      <c r="P6" s="20">
        <v>563.218390804598</v>
      </c>
      <c r="Q6" s="20">
        <v>5632.18390804598</v>
      </c>
      <c r="R6" s="20"/>
      <c r="S6" s="1">
        <f t="shared" si="0"/>
        <v>99.8614168093259</v>
      </c>
      <c r="T6" s="1">
        <f t="shared" ref="T5:T10" si="1">S6*J6</f>
        <v>998.614168093259</v>
      </c>
    </row>
    <row r="7" customHeight="1" spans="1:20">
      <c r="A7" s="10" t="s">
        <v>46</v>
      </c>
      <c r="B7" s="10" t="s">
        <v>47</v>
      </c>
      <c r="C7" s="10" t="s">
        <v>48</v>
      </c>
      <c r="D7" s="6" t="s">
        <v>49</v>
      </c>
      <c r="E7" s="7" t="s">
        <v>50</v>
      </c>
      <c r="F7" s="7" t="s">
        <v>51</v>
      </c>
      <c r="G7" s="7"/>
      <c r="H7" s="7" t="s">
        <v>52</v>
      </c>
      <c r="I7" s="7" t="s">
        <v>53</v>
      </c>
      <c r="J7" s="24">
        <v>61</v>
      </c>
      <c r="K7" s="10" t="s">
        <v>29</v>
      </c>
      <c r="L7" s="10"/>
      <c r="M7" s="10"/>
      <c r="N7" s="10"/>
      <c r="O7" s="10"/>
      <c r="P7" s="20"/>
      <c r="Q7" s="20"/>
      <c r="R7" s="20" t="s">
        <v>54</v>
      </c>
      <c r="S7" s="1">
        <f t="shared" si="0"/>
        <v>0</v>
      </c>
      <c r="T7" s="1">
        <f t="shared" si="1"/>
        <v>0</v>
      </c>
    </row>
    <row r="8" customHeight="1" spans="1:20">
      <c r="A8" s="10" t="s">
        <v>55</v>
      </c>
      <c r="B8" s="10" t="s">
        <v>56</v>
      </c>
      <c r="C8" s="10" t="s">
        <v>57</v>
      </c>
      <c r="D8" s="6" t="s">
        <v>40</v>
      </c>
      <c r="E8" s="7" t="s">
        <v>58</v>
      </c>
      <c r="F8" s="7" t="s">
        <v>42</v>
      </c>
      <c r="G8" s="7" t="s">
        <v>43</v>
      </c>
      <c r="H8" s="7" t="s">
        <v>44</v>
      </c>
      <c r="I8" s="7" t="s">
        <v>59</v>
      </c>
      <c r="J8" s="24">
        <v>23</v>
      </c>
      <c r="K8" s="10" t="s">
        <v>29</v>
      </c>
      <c r="L8" s="10"/>
      <c r="M8" s="10"/>
      <c r="N8" s="10"/>
      <c r="O8" s="10"/>
      <c r="P8" s="20">
        <v>379.310344827586</v>
      </c>
      <c r="Q8" s="20">
        <v>8724.13793103448</v>
      </c>
      <c r="R8" s="20"/>
      <c r="S8" s="1">
        <f t="shared" si="0"/>
        <v>67.2536072389337</v>
      </c>
      <c r="T8" s="1">
        <f t="shared" si="1"/>
        <v>1546.83296649547</v>
      </c>
    </row>
    <row r="9" customHeight="1" spans="1:20">
      <c r="A9" s="10" t="s">
        <v>60</v>
      </c>
      <c r="B9" s="10" t="s">
        <v>61</v>
      </c>
      <c r="C9" s="10" t="s">
        <v>62</v>
      </c>
      <c r="D9" s="11" t="s">
        <v>63</v>
      </c>
      <c r="E9" s="7" t="s">
        <v>64</v>
      </c>
      <c r="F9" s="7" t="s">
        <v>51</v>
      </c>
      <c r="G9" s="7"/>
      <c r="H9" s="7" t="s">
        <v>65</v>
      </c>
      <c r="I9" s="7" t="s">
        <v>66</v>
      </c>
      <c r="J9" s="24">
        <v>17</v>
      </c>
      <c r="K9" s="10" t="s">
        <v>29</v>
      </c>
      <c r="L9" s="10"/>
      <c r="M9" s="10"/>
      <c r="N9" s="10"/>
      <c r="O9" s="10"/>
      <c r="P9" s="20"/>
      <c r="Q9" s="20"/>
      <c r="R9" s="20" t="s">
        <v>54</v>
      </c>
      <c r="S9" s="1">
        <f t="shared" si="0"/>
        <v>0</v>
      </c>
      <c r="T9" s="1">
        <f t="shared" si="1"/>
        <v>0</v>
      </c>
    </row>
    <row r="10" customHeight="1" spans="1:20">
      <c r="A10" s="10" t="s">
        <v>67</v>
      </c>
      <c r="B10" s="10" t="s">
        <v>68</v>
      </c>
      <c r="C10" s="10" t="s">
        <v>69</v>
      </c>
      <c r="D10" s="6" t="s">
        <v>70</v>
      </c>
      <c r="E10" s="7" t="s">
        <v>24</v>
      </c>
      <c r="F10" s="7" t="s">
        <v>42</v>
      </c>
      <c r="G10" s="7" t="s">
        <v>36</v>
      </c>
      <c r="H10" s="7" t="s">
        <v>44</v>
      </c>
      <c r="I10" s="7" t="s">
        <v>71</v>
      </c>
      <c r="J10" s="24">
        <v>1</v>
      </c>
      <c r="K10" s="10" t="s">
        <v>29</v>
      </c>
      <c r="L10" s="10"/>
      <c r="M10" s="10"/>
      <c r="N10" s="10"/>
      <c r="O10" s="10"/>
      <c r="P10" s="20">
        <v>149.425287356322</v>
      </c>
      <c r="Q10" s="20">
        <v>149.425287356322</v>
      </c>
      <c r="R10" s="20"/>
      <c r="S10" s="1">
        <f t="shared" si="0"/>
        <v>26.4938452759436</v>
      </c>
      <c r="T10" s="1">
        <f t="shared" si="1"/>
        <v>26.4938452759436</v>
      </c>
    </row>
    <row r="11" customHeight="1" spans="1:18">
      <c r="A11" s="8" t="s">
        <v>1</v>
      </c>
      <c r="B11" s="9" t="s">
        <v>2</v>
      </c>
      <c r="C11" s="9" t="s">
        <v>3</v>
      </c>
      <c r="D11" s="9"/>
      <c r="E11" s="9"/>
      <c r="F11" s="9"/>
      <c r="G11" s="9"/>
      <c r="H11" s="9"/>
      <c r="I11" s="9"/>
      <c r="J11" s="8" t="s">
        <v>10</v>
      </c>
      <c r="K11" s="8" t="s">
        <v>11</v>
      </c>
      <c r="L11" s="22" t="s">
        <v>12</v>
      </c>
      <c r="M11" s="22" t="s">
        <v>13</v>
      </c>
      <c r="N11" s="23" t="s">
        <v>14</v>
      </c>
      <c r="O11" s="23" t="s">
        <v>15</v>
      </c>
      <c r="P11" s="20"/>
      <c r="Q11" s="20"/>
      <c r="R11" s="20"/>
    </row>
    <row r="12" customHeight="1" spans="1:20">
      <c r="A12" s="10" t="s">
        <v>46</v>
      </c>
      <c r="B12" s="10" t="s">
        <v>31</v>
      </c>
      <c r="C12" s="10" t="s">
        <v>72</v>
      </c>
      <c r="D12" s="12" t="s">
        <v>40</v>
      </c>
      <c r="E12" s="12" t="s">
        <v>34</v>
      </c>
      <c r="F12" s="12" t="s">
        <v>35</v>
      </c>
      <c r="G12" s="12" t="s">
        <v>36</v>
      </c>
      <c r="H12" s="12" t="s">
        <v>73</v>
      </c>
      <c r="I12" s="25" t="s">
        <v>74</v>
      </c>
      <c r="J12" s="24">
        <v>2</v>
      </c>
      <c r="K12" s="10" t="s">
        <v>29</v>
      </c>
      <c r="L12" s="10"/>
      <c r="M12" s="10"/>
      <c r="N12" s="10"/>
      <c r="O12" s="10"/>
      <c r="P12" s="20">
        <v>459.770114942529</v>
      </c>
      <c r="Q12" s="20">
        <v>919.540229885057</v>
      </c>
      <c r="R12" s="20"/>
      <c r="S12" s="1">
        <f>P12*1.25/7.05</f>
        <v>81.5195239259803</v>
      </c>
      <c r="T12" s="1">
        <f>S12*J12</f>
        <v>163.039047851961</v>
      </c>
    </row>
    <row r="13" customHeight="1" spans="4:20">
      <c r="D13" s="13"/>
      <c r="E13" s="13"/>
      <c r="F13" s="13"/>
      <c r="G13" s="13"/>
      <c r="H13" s="13"/>
      <c r="I13" s="13"/>
      <c r="J13" s="14"/>
      <c r="P13" s="20"/>
      <c r="Q13" s="20">
        <v>17804.5977011494</v>
      </c>
      <c r="R13" s="20">
        <f>T13*7.05</f>
        <v>22255.7471264368</v>
      </c>
      <c r="T13" s="1">
        <f>SUM(T3:T12)</f>
        <v>3156.84356403359</v>
      </c>
    </row>
    <row r="14" customHeight="1" spans="4:10">
      <c r="D14" s="13"/>
      <c r="E14" s="13"/>
      <c r="F14" s="13"/>
      <c r="G14" s="13"/>
      <c r="H14" s="13"/>
      <c r="I14" s="13"/>
      <c r="J14" s="14"/>
    </row>
    <row r="15" customHeight="1" spans="4:10">
      <c r="D15" s="14"/>
      <c r="E15" s="15" t="s">
        <v>75</v>
      </c>
      <c r="F15" s="16"/>
      <c r="G15" s="14"/>
      <c r="H15" s="14"/>
      <c r="I15" s="14"/>
      <c r="J15" s="14"/>
    </row>
    <row r="16" customHeight="1" spans="5:6">
      <c r="E16" s="16"/>
      <c r="F16" s="16"/>
    </row>
    <row r="17" customHeight="1" spans="5:6">
      <c r="E17" s="16"/>
      <c r="F17" s="16"/>
    </row>
  </sheetData>
  <mergeCells count="2">
    <mergeCell ref="L1:M1"/>
    <mergeCell ref="E15:F17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6BAD94B-0E1B-4A6A-BD09-6E9AC9506E0F}">
  <ds:schemaRefs/>
</ds:datastoreItem>
</file>

<file path=customXml/itemProps2.xml><?xml version="1.0" encoding="utf-8"?>
<ds:datastoreItem xmlns:ds="http://schemas.openxmlformats.org/officeDocument/2006/customXml" ds:itemID="{53954BDD-77B0-481B-BA82-ECD78720F3C1}">
  <ds:schemaRefs/>
</ds:datastoreItem>
</file>

<file path=customXml/itemProps3.xml><?xml version="1.0" encoding="utf-8"?>
<ds:datastoreItem xmlns:ds="http://schemas.openxmlformats.org/officeDocument/2006/customXml" ds:itemID="{D3911A7A-269B-4B12-B39A-687614C50C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CN25906-JN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See Hui</dc:creator>
  <cp:lastModifiedBy>Administrator</cp:lastModifiedBy>
  <dcterms:created xsi:type="dcterms:W3CDTF">2025-10-14T06:55:00Z</dcterms:created>
  <dcterms:modified xsi:type="dcterms:W3CDTF">2025-10-22T02:37:27Z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0x0101004EC5CBD40CB9464EBC9A7CA29481DCCC</vt:lpwstr>
  </property>
  <property fmtid="{D5CDD505-2E9C-101B-9397-08002B2CF9AE}" pid="3" name="ICV">
    <vt:lpwstr>91EBCC060F8142BAB02DF2F901122217_13</vt:lpwstr>
  </property>
  <property fmtid="{D5CDD505-2E9C-101B-9397-08002B2CF9AE}" pid="4" name="KSOProductBuildVer">
    <vt:lpwstr>2052-12.1.0.23125</vt:lpwstr>
  </property>
  <property fmtid="{D5CDD505-2E9C-101B-9397-08002B2CF9AE}" pid="5" name="KSOReadingLayout">
    <vt:bool>true</vt:bool>
  </property>
</Properties>
</file>