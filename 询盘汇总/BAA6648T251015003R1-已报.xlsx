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<sst xmlns="http://schemas.openxmlformats.org/spreadsheetml/2006/main" count="195" uniqueCount="94">
  <si>
    <t>Line No</t>
  </si>
  <si>
    <t>Item Description</t>
  </si>
  <si>
    <t>名称</t>
  </si>
  <si>
    <t>尺寸</t>
  </si>
  <si>
    <t>压力</t>
  </si>
  <si>
    <t>材质</t>
  </si>
  <si>
    <t>标准</t>
  </si>
  <si>
    <t>备注</t>
  </si>
  <si>
    <t>UOM</t>
  </si>
  <si>
    <t>Quantity</t>
  </si>
  <si>
    <t>Item Price</t>
  </si>
  <si>
    <t>单价</t>
  </si>
  <si>
    <t>总价</t>
  </si>
  <si>
    <t>报价美元单价</t>
  </si>
  <si>
    <t>报价美元总价</t>
  </si>
  <si>
    <t>HEX LONG NIPPLE, 1/2" MNPT,4"</t>
  </si>
  <si>
    <t xml:space="preserve"> HEX LONG NIPPLE, 1/2" MNPT, 4" LONG, STAINLESS STEEL ASTM A182 GR. F316/316L*, C/W EN</t>
  </si>
  <si>
    <r>
      <rPr>
        <sz val="11"/>
        <color theme="1"/>
        <rFont val="宋体"/>
        <charset val="134"/>
      </rPr>
      <t>六角长接头</t>
    </r>
    <r>
      <rPr>
        <sz val="11"/>
        <color theme="1"/>
        <rFont val="Arial"/>
        <charset val="134"/>
      </rPr>
      <t xml:space="preserve"> (HEX LONG NIPPLE)</t>
    </r>
  </si>
  <si>
    <r>
      <rPr>
        <sz val="11"/>
        <color theme="1"/>
        <rFont val="Arial"/>
        <charset val="134"/>
      </rPr>
      <t>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MNPT</t>
    </r>
    <r>
      <rPr>
        <sz val="11"/>
        <color theme="1"/>
        <rFont val="宋体"/>
        <charset val="134"/>
      </rPr>
      <t>（外螺纹），长度</t>
    </r>
    <r>
      <rPr>
        <sz val="11"/>
        <color theme="1"/>
        <rFont val="Arial"/>
        <charset val="134"/>
      </rPr>
      <t>4</t>
    </r>
    <r>
      <rPr>
        <sz val="11"/>
        <color theme="1"/>
        <rFont val="宋体"/>
        <charset val="134"/>
      </rPr>
      <t>英寸</t>
    </r>
  </si>
  <si>
    <r>
      <rPr>
        <sz val="11"/>
        <color theme="1"/>
        <rFont val="宋体"/>
        <charset val="134"/>
      </rPr>
      <t>不锈钢</t>
    </r>
    <r>
      <rPr>
        <sz val="11"/>
        <color theme="1"/>
        <rFont val="Arial"/>
        <charset val="134"/>
      </rPr>
      <t xml:space="preserve"> ASTM A182 GR. F316/316L</t>
    </r>
  </si>
  <si>
    <r>
      <rPr>
        <sz val="11"/>
        <color theme="1"/>
        <rFont val="宋体"/>
        <charset val="134"/>
      </rPr>
      <t>附带异径螺纹法兰（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× 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NPT</t>
    </r>
    <r>
      <rPr>
        <sz val="11"/>
        <color theme="1"/>
        <rFont val="宋体"/>
        <charset val="134"/>
      </rPr>
      <t>）</t>
    </r>
  </si>
  <si>
    <t>PC</t>
  </si>
  <si>
    <t>FLANGE, REDUCING THREADED, 1" NB X 1/2"</t>
  </si>
  <si>
    <t xml:space="preserve"> FLANGE, REDUCING THREADED, 1" NB X 1/2" NB NPT, PRESSURE RATING: ANSI  600 LBS, RAI SED FACE, SUPER DUPLEX STAINLESS STEEL ASTM A182-F55(UNS  S32760), AS PER ASME B16.5 STANDARD, SERRATED SPIRAL FACING FINISH,  COMPL Y TO NACE MR</t>
  </si>
  <si>
    <r>
      <rPr>
        <sz val="11"/>
        <color theme="1"/>
        <rFont val="宋体"/>
        <charset val="134"/>
      </rPr>
      <t>异径螺纹法兰</t>
    </r>
    <r>
      <rPr>
        <sz val="11"/>
        <color theme="1"/>
        <rFont val="Arial"/>
        <charset val="134"/>
      </rPr>
      <t xml:space="preserve"> (REDUCING THREADED FLANGE)</t>
    </r>
  </si>
  <si>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× 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NPT</t>
    </r>
    <r>
      <rPr>
        <sz val="11"/>
        <color theme="1"/>
        <rFont val="宋体"/>
        <charset val="134"/>
      </rPr>
      <t>（螺纹）</t>
    </r>
  </si>
  <si>
    <t>600 LBS</t>
  </si>
  <si>
    <r>
      <rPr>
        <sz val="11"/>
        <color theme="1"/>
        <rFont val="宋体"/>
        <charset val="134"/>
      </rPr>
      <t>超级双相不锈钢</t>
    </r>
    <r>
      <rPr>
        <sz val="11"/>
        <color theme="1"/>
        <rFont val="Arial"/>
        <charset val="134"/>
      </rPr>
      <t xml:space="preserve"> ASTM A182-F55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UNS S32760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</si>
  <si>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Arial"/>
        <charset val="134"/>
      </rPr>
      <t>ASME B16.5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NACE MR</t>
    </r>
  </si>
  <si>
    <r>
      <rPr>
        <sz val="11"/>
        <color theme="1"/>
        <rFont val="宋体"/>
        <charset val="134"/>
      </rPr>
      <t>压力等级</t>
    </r>
    <r>
      <rPr>
        <sz val="11"/>
        <color theme="1"/>
        <rFont val="Arial"/>
        <charset val="134"/>
      </rPr>
      <t>ANSI 600 LBS</t>
    </r>
    <r>
      <rPr>
        <sz val="11"/>
        <color theme="1"/>
        <rFont val="宋体"/>
        <charset val="134"/>
      </rPr>
      <t>，凸面（</t>
    </r>
    <r>
      <rPr>
        <sz val="11"/>
        <color theme="1"/>
        <rFont val="Arial"/>
        <charset val="134"/>
      </rPr>
      <t>RAISED FACE</t>
    </r>
    <r>
      <rPr>
        <sz val="11"/>
        <color theme="1"/>
        <rFont val="宋体"/>
        <charset val="134"/>
      </rPr>
      <t>），锯齿螺旋面处理</t>
    </r>
  </si>
  <si>
    <t>HEX LONG NIPPLE, 1/2" MNPT, 4" LONG, SUP</t>
  </si>
  <si>
    <t xml:space="preserve"> HEX LONG NIPPLE, 1/2" MNPT, 4" LONG, SUPER DUPLEX STAINLESS STEEL ASTM  A182-F55(UN S S32760), COMPLY TO NACE MR 01-75, C/W EN 10204-3.1  CERTIFICATE         ,</t>
  </si>
  <si>
    <t>NACE MR 01-75</t>
  </si>
  <si>
    <r>
      <rPr>
        <sz val="11"/>
        <color theme="1"/>
        <rFont val="宋体"/>
        <charset val="134"/>
      </rPr>
      <t>附带</t>
    </r>
    <r>
      <rPr>
        <sz val="11"/>
        <color theme="1"/>
        <rFont val="Arial"/>
        <charset val="134"/>
      </rPr>
      <t>EN 10204-3.1</t>
    </r>
    <r>
      <rPr>
        <sz val="11"/>
        <color theme="1"/>
        <rFont val="宋体"/>
        <charset val="134"/>
      </rPr>
      <t>证书</t>
    </r>
  </si>
  <si>
    <t xml:space="preserve"> FLANGE, REDUCING THREADED, 1" NB X 1/2" NB NPT, PRESSURE RATING: ANSI  300 LBS, RAI SED FACE, NICKEL ALLOY ASTM B564 GRADE N06625, AS PER ASME  B16.5 STANDARD, SERRATED SPIRAL FACING FINISH, COMPLY TO NACE MR 01-75,  C/W EN</t>
  </si>
  <si>
    <t>300 LBS</t>
  </si>
  <si>
    <r>
      <rPr>
        <sz val="11"/>
        <color theme="1"/>
        <rFont val="宋体"/>
        <charset val="134"/>
      </rPr>
      <t>镍合金</t>
    </r>
    <r>
      <rPr>
        <sz val="11"/>
        <color theme="1"/>
        <rFont val="Arial"/>
        <charset val="134"/>
      </rPr>
      <t xml:space="preserve"> ASTM B564 GRADE N06625</t>
    </r>
  </si>
  <si>
    <r>
      <rPr>
        <sz val="11"/>
        <color theme="1"/>
        <rFont val="Arial"/>
        <charset val="134"/>
      </rPr>
      <t>ASME B16.5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NACE MR 01-75</t>
    </r>
  </si>
  <si>
    <r>
      <rPr>
        <sz val="11"/>
        <color theme="1"/>
        <rFont val="宋体"/>
        <charset val="134"/>
      </rPr>
      <t>压力等级</t>
    </r>
    <r>
      <rPr>
        <sz val="11"/>
        <color theme="1"/>
        <rFont val="Arial"/>
        <charset val="134"/>
      </rPr>
      <t>ANSI 300 LBS</t>
    </r>
    <r>
      <rPr>
        <sz val="11"/>
        <color theme="1"/>
        <rFont val="宋体"/>
        <charset val="134"/>
      </rPr>
      <t>，凸面（</t>
    </r>
    <r>
      <rPr>
        <sz val="11"/>
        <color theme="1"/>
        <rFont val="Arial"/>
        <charset val="134"/>
      </rPr>
      <t>RAISED FACE</t>
    </r>
    <r>
      <rPr>
        <sz val="11"/>
        <color theme="1"/>
        <rFont val="宋体"/>
        <charset val="134"/>
      </rPr>
      <t>），锯齿螺旋面处理</t>
    </r>
  </si>
  <si>
    <t>FLG,1/2",150#,TH RF,A182-F55,N</t>
  </si>
  <si>
    <t xml:space="preserve"> FLANGE, 1/2" NB, PRESSURE RATING: ANSI 150 LBS, THREADED RAISED FACE, SUPER DUPLEX STAINLESS STEEL ASTM A182-F55(UNS S32760), NPT AS PER ASME B1.20.1 STANDARD, AS PER ASME B16.5 STANDARD, SERRATED SPIRAL FACING FINI SH,</t>
  </si>
  <si>
    <r>
      <rPr>
        <sz val="11"/>
        <color theme="1"/>
        <rFont val="宋体"/>
        <charset val="134"/>
      </rPr>
      <t>螺纹法兰</t>
    </r>
    <r>
      <rPr>
        <sz val="11"/>
        <color theme="1"/>
        <rFont val="Arial"/>
        <charset val="134"/>
      </rPr>
      <t xml:space="preserve"> (THREADED FLANGE)</t>
    </r>
  </si>
  <si>
    <r>
      <rPr>
        <sz val="11"/>
        <color theme="1"/>
        <rFont val="Arial"/>
        <charset val="134"/>
      </rPr>
      <t>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NPT</t>
    </r>
    <r>
      <rPr>
        <sz val="11"/>
        <color theme="1"/>
        <rFont val="宋体"/>
        <charset val="134"/>
      </rPr>
      <t>螺纹（符合</t>
    </r>
    <r>
      <rPr>
        <sz val="11"/>
        <color theme="1"/>
        <rFont val="Arial"/>
        <charset val="134"/>
      </rPr>
      <t>ASME B1.20.1</t>
    </r>
    <r>
      <rPr>
        <sz val="11"/>
        <color theme="1"/>
        <rFont val="宋体"/>
        <charset val="134"/>
      </rPr>
      <t>）</t>
    </r>
  </si>
  <si>
    <t>150 LBS</t>
  </si>
  <si>
    <r>
      <rPr>
        <sz val="11"/>
        <color theme="1"/>
        <rFont val="Arial"/>
        <charset val="134"/>
      </rPr>
      <t>ASME B16.5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ASME B1.20.1</t>
    </r>
  </si>
  <si>
    <r>
      <rPr>
        <sz val="11"/>
        <color theme="1"/>
        <rFont val="宋体"/>
        <charset val="134"/>
      </rPr>
      <t>压力等级</t>
    </r>
    <r>
      <rPr>
        <sz val="11"/>
        <color theme="1"/>
        <rFont val="Arial"/>
        <charset val="134"/>
      </rPr>
      <t>ANSI 150 LBS</t>
    </r>
    <r>
      <rPr>
        <sz val="11"/>
        <color theme="1"/>
        <rFont val="宋体"/>
        <charset val="134"/>
      </rPr>
      <t>，凸面（</t>
    </r>
    <r>
      <rPr>
        <sz val="11"/>
        <color theme="1"/>
        <rFont val="Arial"/>
        <charset val="134"/>
      </rPr>
      <t>RAISED FACE</t>
    </r>
    <r>
      <rPr>
        <sz val="11"/>
        <color theme="1"/>
        <rFont val="宋体"/>
        <charset val="134"/>
      </rPr>
      <t>），锯齿螺旋面处理</t>
    </r>
  </si>
  <si>
    <t>FLG,3",150#,TH RF,1/2" NPT,A18</t>
  </si>
  <si>
    <t xml:space="preserve"> FLANGE, REDUCING THREADED, 3" NB X 1/2" NB NPT, PRESSURE RATING: ANSI 150 LBS, RAIS ED FACE, STAINLESS STEEL ASTM A182 F316/316L, AS PER ASME B16.5 STANDARD,</t>
  </si>
  <si>
    <r>
      <rPr>
        <sz val="11"/>
        <color theme="1"/>
        <rFont val="Arial"/>
        <charset val="134"/>
      </rPr>
      <t>3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× 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NPT</t>
    </r>
    <r>
      <rPr>
        <sz val="11"/>
        <color theme="1"/>
        <rFont val="宋体"/>
        <charset val="134"/>
      </rPr>
      <t>（螺纹）</t>
    </r>
  </si>
  <si>
    <r>
      <rPr>
        <sz val="11"/>
        <color theme="1"/>
        <rFont val="宋体"/>
        <charset val="134"/>
      </rPr>
      <t>不锈钢</t>
    </r>
    <r>
      <rPr>
        <sz val="11"/>
        <color theme="1"/>
        <rFont val="Arial"/>
        <charset val="134"/>
      </rPr>
      <t xml:space="preserve"> ASTM A182 F316/316L</t>
    </r>
  </si>
  <si>
    <t>ASME B16.5</t>
  </si>
  <si>
    <r>
      <rPr>
        <sz val="11"/>
        <color theme="1"/>
        <rFont val="宋体"/>
        <charset val="134"/>
      </rPr>
      <t>压力等级</t>
    </r>
    <r>
      <rPr>
        <sz val="11"/>
        <color theme="1"/>
        <rFont val="Arial"/>
        <charset val="134"/>
      </rPr>
      <t>ANSI 150 LBS</t>
    </r>
    <r>
      <rPr>
        <sz val="11"/>
        <color theme="1"/>
        <rFont val="宋体"/>
        <charset val="134"/>
      </rPr>
      <t>，凸面（</t>
    </r>
    <r>
      <rPr>
        <sz val="11"/>
        <color theme="1"/>
        <rFont val="Arial"/>
        <charset val="134"/>
      </rPr>
      <t>RAISED FACE</t>
    </r>
    <r>
      <rPr>
        <sz val="11"/>
        <color theme="1"/>
        <rFont val="宋体"/>
        <charset val="134"/>
      </rPr>
      <t>）</t>
    </r>
  </si>
  <si>
    <t>FLG,1",150#,TH RF,1/2" NPT,SS</t>
  </si>
  <si>
    <t xml:space="preserve"> FLANGE, REDUCING THREADED, 1" NB X 1/2" NB NPT, PRESSURE RATING: ANSI 150 LBS, RAIS ED FACE, STAINLESS STEEL ASTM A182 GR. F316/316L*, DIMENSION AS PER ASME</t>
  </si>
  <si>
    <t>FLG,3/4",300#,TH RF,1/2" NPT,S</t>
  </si>
  <si>
    <t xml:space="preserve"> FLANGE, REDUCING THREADED, 3/4" NB X 1/2" NB NPT, PRESSURE RATING: ANSI 300 LBS, RA ISED FACE, STAINLESS STEEL ASTM A182 F316/316L*, DIMENSION AS PER ASME B16.5</t>
  </si>
  <si>
    <r>
      <rPr>
        <sz val="11"/>
        <color theme="1"/>
        <rFont val="Arial"/>
        <charset val="134"/>
      </rPr>
      <t>3/4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× 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NPT</t>
    </r>
    <r>
      <rPr>
        <sz val="11"/>
        <color theme="1"/>
        <rFont val="宋体"/>
        <charset val="134"/>
      </rPr>
      <t>（螺纹）</t>
    </r>
  </si>
  <si>
    <r>
      <rPr>
        <sz val="11"/>
        <color theme="1"/>
        <rFont val="宋体"/>
        <charset val="134"/>
      </rPr>
      <t>压力等级</t>
    </r>
    <r>
      <rPr>
        <sz val="11"/>
        <color theme="1"/>
        <rFont val="Arial"/>
        <charset val="134"/>
      </rPr>
      <t>ANSI 300 LBS</t>
    </r>
    <r>
      <rPr>
        <sz val="11"/>
        <color theme="1"/>
        <rFont val="宋体"/>
        <charset val="134"/>
      </rPr>
      <t>，凸面（</t>
    </r>
    <r>
      <rPr>
        <sz val="11"/>
        <color theme="1"/>
        <rFont val="Arial"/>
        <charset val="134"/>
      </rPr>
      <t>RAISED FACE</t>
    </r>
    <r>
      <rPr>
        <sz val="11"/>
        <color theme="1"/>
        <rFont val="宋体"/>
        <charset val="134"/>
      </rPr>
      <t>）</t>
    </r>
  </si>
  <si>
    <t>FLG,3/4",300#,TH RF,1/2" NPT,A</t>
  </si>
  <si>
    <t xml:space="preserve"> FLANGE, REDUCING THREADED, 3/4" NB X 1/2" NB NPT, PRESSURE RATING: ANSI 300 LBS, RA ISED FACE, STAINLESS STEEL ASTM A182 F316/316L, AS PER ASME B16.5 STANDARD,</t>
  </si>
  <si>
    <t>HEX LONG NIPPLE, 1/2" MNPT, 4" LONG,</t>
  </si>
  <si>
    <t xml:space="preserve"> HEX LONG NIPPLE, 1/2" MNPT, 4" LONG, STAINLESS STEEL ASTM A182 GR.  F316/316L, COMP LY TO NACE MR 01-75, C/W EN 10204-3.1 CERTIFICATE     , AddDesc: LONG HEX NIPPLE,</t>
  </si>
  <si>
    <r>
      <rPr>
        <sz val="11"/>
        <color theme="1"/>
        <rFont val="宋体"/>
        <charset val="134"/>
      </rPr>
      <t>附带</t>
    </r>
    <r>
      <rPr>
        <sz val="11"/>
        <color theme="1"/>
        <rFont val="Arial"/>
        <charset val="134"/>
      </rPr>
      <t>EN 10204-3.1</t>
    </r>
    <r>
      <rPr>
        <sz val="11"/>
        <color theme="1"/>
        <rFont val="宋体"/>
        <charset val="134"/>
      </rPr>
      <t>证书，附加描述：</t>
    </r>
    <r>
      <rPr>
        <sz val="11"/>
        <color theme="1"/>
        <rFont val="Arial"/>
        <charset val="134"/>
      </rPr>
      <t>LONG HEX NIPPLE</t>
    </r>
  </si>
  <si>
    <t>FLG,2",150#,TH RF,1/2" NPT,A18</t>
  </si>
  <si>
    <t xml:space="preserve"> FLANGE, REDUCING THREADED, 2" NB X 1/2" NB NPT, PRESSURE RATING: ANSI 150 LBS, RAIS ED FACE, SUPER DUPLEX STAINLESS STEEL ASTM A182-F55(UNS S32760), AS PER</t>
  </si>
  <si>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× 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NPT</t>
    </r>
    <r>
      <rPr>
        <sz val="11"/>
        <color theme="1"/>
        <rFont val="宋体"/>
        <charset val="134"/>
      </rPr>
      <t>（螺纹）</t>
    </r>
  </si>
  <si>
    <t>FLANGE, REDUCING THREADED, 2" NB X 1/2"</t>
  </si>
  <si>
    <t xml:space="preserve"> FLANGE, REDUCING THREADED, 2" NB X 1/2" NB NPT, PRESSURE RATING: ANSI  150 LBS, RAI SED FACE, SUPER DUPLEX STAINLESS STEEL ASTM A182-F55(UNS  S32760), AS PER ASME B16.5 STANDARD, SERRATED SPIRAL FACING FINISH,  COMPL Y TO NACE MR</t>
  </si>
  <si>
    <t xml:space="preserve"> FLANGE, REDUCING THREADED, 1" NB X 1/2" NB NPT, PRESSURE RATING: ANSI  150 LBS, RAI SED FACE, SUPER DUPLEX STAINLESS STEEL ASTM A182-F55(UNS  S32760), AS PER ASME B16.5 STANDARD, SERRATED SPIRAL FACING FINISH,  COMPL Y TO NACE MR</t>
  </si>
  <si>
    <t xml:space="preserve"> FLANGE, REDUCING THREADED, 2" NB X 1/2" NB NPT, PRESSURE RATING: ANSI 150 LBS, RAIS ED FACE, STAINLESS STEEL ASTM A182 F316/316L, AS PER ASME B16.5 STANDARD,</t>
  </si>
  <si>
    <t>FLANGE, REDUCING THREADED, 3/4" NB X 1/2</t>
  </si>
  <si>
    <t xml:space="preserve"> FLANGE, REDUCING THREADED, 3/4" NB X 1/2" NB NPT, PRESSURE RATING: ANSI  1500 LBS, RING TYPE JOINT, STAINLESS STEEL ASTM A182-F316/316L, AS PER  ASME B16.5</t>
  </si>
  <si>
    <t>1500 LBS</t>
  </si>
  <si>
    <r>
      <rPr>
        <sz val="11"/>
        <color theme="1"/>
        <rFont val="宋体"/>
        <charset val="134"/>
      </rPr>
      <t>不锈钢</t>
    </r>
    <r>
      <rPr>
        <sz val="11"/>
        <color theme="1"/>
        <rFont val="Arial"/>
        <charset val="134"/>
      </rPr>
      <t xml:space="preserve"> ASTM A182-F316/316L</t>
    </r>
  </si>
  <si>
    <r>
      <rPr>
        <sz val="11"/>
        <color theme="1"/>
        <rFont val="宋体"/>
        <charset val="134"/>
      </rPr>
      <t>压力等级</t>
    </r>
    <r>
      <rPr>
        <sz val="11"/>
        <color theme="1"/>
        <rFont val="Arial"/>
        <charset val="134"/>
      </rPr>
      <t>ANSI 1500 LBS</t>
    </r>
    <r>
      <rPr>
        <sz val="11"/>
        <color theme="1"/>
        <rFont val="宋体"/>
        <charset val="134"/>
      </rPr>
      <t>，环连接面（</t>
    </r>
    <r>
      <rPr>
        <sz val="11"/>
        <color theme="1"/>
        <rFont val="Arial"/>
        <charset val="134"/>
      </rPr>
      <t>RING TYPE JOINT</t>
    </r>
    <r>
      <rPr>
        <sz val="11"/>
        <color theme="1"/>
        <rFont val="宋体"/>
        <charset val="134"/>
      </rPr>
      <t>）</t>
    </r>
  </si>
  <si>
    <t xml:space="preserve"> FLANGE, REDUCING THREADED, 2" NB X 1/2" NB NPT, PRESSURE RATING: ANSI  2500 LBS, RI NG TYPE JOINT, SUPER DUPLEX STAINLESS STEEL ASTM A182-  F55(UNS S32760), AS</t>
  </si>
  <si>
    <t>2500 LBS</t>
  </si>
  <si>
    <r>
      <rPr>
        <sz val="11"/>
        <color theme="1"/>
        <rFont val="宋体"/>
        <charset val="134"/>
      </rPr>
      <t>压力等级</t>
    </r>
    <r>
      <rPr>
        <sz val="11"/>
        <color theme="1"/>
        <rFont val="Arial"/>
        <charset val="134"/>
      </rPr>
      <t>ANSI 2500 LBS</t>
    </r>
    <r>
      <rPr>
        <sz val="11"/>
        <color theme="1"/>
        <rFont val="宋体"/>
        <charset val="134"/>
      </rPr>
      <t>，环连接面（</t>
    </r>
    <r>
      <rPr>
        <sz val="11"/>
        <color theme="1"/>
        <rFont val="Arial"/>
        <charset val="134"/>
      </rPr>
      <t>RING TYPE JOINT</t>
    </r>
    <r>
      <rPr>
        <sz val="11"/>
        <color theme="1"/>
        <rFont val="宋体"/>
        <charset val="134"/>
      </rPr>
      <t>）</t>
    </r>
  </si>
  <si>
    <t>FLANGE, REDUCING THREADED,3/4" NB X 1/2"</t>
  </si>
  <si>
    <t xml:space="preserve"> FLANGE, REDUCING THREADED,3/4" NB X 1/2" NB NPT, PRESSURE RATING: ANSI  150 LBS, RA ISED FACE, SUPER DUPLEX STAINLESS STEEL ASTM A182-F55(UNS  S32760), AS PER</t>
  </si>
  <si>
    <t xml:space="preserve"> HEX LONG NIPPLE, 1/2" MNPT, 4" LONG, SUPER DUPLEX STAINLESS STEEL ASTM  A182- F55(U NS S32760), C/W EN 10204-3.1 CERTIFICATE     , AddDesc: LONG HEX NIPPLE, 4"</t>
  </si>
  <si>
    <r>
      <rPr>
        <sz val="11"/>
        <color theme="1"/>
        <rFont val="宋体"/>
        <charset val="134"/>
      </rPr>
      <t>附带</t>
    </r>
    <r>
      <rPr>
        <sz val="11"/>
        <color theme="1"/>
        <rFont val="Arial"/>
        <charset val="134"/>
      </rPr>
      <t>EN 10204-3.1</t>
    </r>
    <r>
      <rPr>
        <sz val="11"/>
        <color theme="1"/>
        <rFont val="宋体"/>
        <charset val="134"/>
      </rPr>
      <t>证书，附加描述：</t>
    </r>
    <r>
      <rPr>
        <sz val="11"/>
        <color theme="1"/>
        <rFont val="Arial"/>
        <charset val="134"/>
      </rPr>
      <t>LONG HEX NIPPLE, 4"</t>
    </r>
  </si>
  <si>
    <t>HEX LONG NIPPLE, 1/2" MNPT, 4" LONG, 150</t>
  </si>
  <si>
    <t xml:space="preserve"> HEX LONG NIPPLE, 1/2" MNPT, 4" LONG, 15000 PSI, SUPER DUPLEX STAINLESS  STEEL ASTM A182- F55(UNS S32760), COMPLY TO NACE MR 01-75, C/W EN  10204-3.1 CERTIFICATE</t>
  </si>
  <si>
    <t xml:space="preserve"> 15000 PSI</t>
  </si>
  <si>
    <r>
      <rPr>
        <sz val="11"/>
        <color theme="1"/>
        <rFont val="宋体"/>
        <charset val="134"/>
      </rPr>
      <t>压力等级</t>
    </r>
    <r>
      <rPr>
        <sz val="11"/>
        <color theme="1"/>
        <rFont val="Arial"/>
        <charset val="134"/>
      </rPr>
      <t>15000 PSI</t>
    </r>
    <r>
      <rPr>
        <sz val="11"/>
        <color theme="1"/>
        <rFont val="宋体"/>
        <charset val="134"/>
      </rPr>
      <t>，附带</t>
    </r>
    <r>
      <rPr>
        <sz val="11"/>
        <color theme="1"/>
        <rFont val="Arial"/>
        <charset val="134"/>
      </rPr>
      <t>EN 10204-3.1</t>
    </r>
    <r>
      <rPr>
        <sz val="11"/>
        <color theme="1"/>
        <rFont val="宋体"/>
        <charset val="134"/>
      </rPr>
      <t>证书</t>
    </r>
  </si>
  <si>
    <t>FLG,1/2",150#,TH RF, 1/2" NPT,</t>
  </si>
  <si>
    <t xml:space="preserve"> FLANGE, EQUAL THREADED, 1/2" NB X 1/2" NB NPT, PRESSURE RATING: ANSI 150 LBS, RAISE D FACE, STAINLESS STEEL ASTM A182 GR. F316/316L*, DIMENSION AS PER ASME B16.5</t>
  </si>
  <si>
    <r>
      <rPr>
        <sz val="11"/>
        <color theme="1"/>
        <rFont val="宋体"/>
        <charset val="134"/>
      </rPr>
      <t>等径螺纹法兰</t>
    </r>
    <r>
      <rPr>
        <sz val="11"/>
        <color theme="1"/>
        <rFont val="Arial"/>
        <charset val="134"/>
      </rPr>
      <t xml:space="preserve"> (EQUAL THREADED FLANGE)</t>
    </r>
  </si>
  <si>
    <r>
      <rPr>
        <sz val="11"/>
        <color theme="1"/>
        <rFont val="Arial"/>
        <charset val="134"/>
      </rPr>
      <t>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× 1/2</t>
    </r>
    <r>
      <rPr>
        <sz val="11"/>
        <color theme="1"/>
        <rFont val="宋体"/>
        <charset val="134"/>
      </rPr>
      <t>英寸</t>
    </r>
    <r>
      <rPr>
        <sz val="11"/>
        <color theme="1"/>
        <rFont val="Arial"/>
        <charset val="134"/>
      </rPr>
      <t xml:space="preserve"> NB NPT</t>
    </r>
    <r>
      <rPr>
        <sz val="11"/>
        <color theme="1"/>
        <rFont val="宋体"/>
        <charset val="134"/>
      </rPr>
      <t>（螺纹）</t>
    </r>
  </si>
  <si>
    <t>PMI Testing</t>
  </si>
  <si>
    <t>LOT</t>
  </si>
  <si>
    <t>Cost</t>
  </si>
  <si>
    <t>Certification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</si>
</sst>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wrapText="1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1" xfId="0" applyFont="1" applyFill="1" applyBorder="1" applyAlignment="1">
      <alignment horizontal="left" vertical="center" wrapText="1"/>
    </xf>
    <xf numFmtId="43" fontId="1" fillId="0" borderId="0" xfId="0" applyNumberFormat="1" applyFont="1" applyFill="1" applyAlignment="1"/>
    <xf numFmtId="43" fontId="3" fillId="0" borderId="0" xfId="0" applyNumberFormat="1" applyFont="1" applyFill="1" applyAlignment="1"/>
    <xf numFmtId="43" fontId="1" fillId="0" borderId="1" xfId="0" applyNumberFormat="1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topLeftCell="F17" workbookViewId="0">
      <selection activeCell="P22" sqref="P22"/>
    </sheetView>
  </sheetViews>
  <sheetFormatPr defaultColWidth="9" defaultRowHeight="15.6"/>
  <cols>
    <col min="1" max="1" width="9" style="3"/>
    <col min="2" max="2" width="39.75" style="3" customWidth="1"/>
    <col min="3" max="3" width="55.1759259259259" style="3" customWidth="1"/>
    <col min="4" max="4" width="12.462962962963" style="3" customWidth="1"/>
    <col min="5" max="5" width="19.1759259259259" style="3" customWidth="1"/>
    <col min="6" max="6" width="12.9351851851852" style="3" customWidth="1"/>
    <col min="7" max="7" width="16.1203703703704" style="3" customWidth="1"/>
    <col min="8" max="8" width="25.7592592592593" style="3" customWidth="1"/>
    <col min="9" max="9" width="13.8796296296296" style="3" customWidth="1"/>
    <col min="10" max="12" width="9" style="3"/>
    <col min="13" max="13" width="27.4259259259259" style="3" customWidth="1"/>
    <col min="14" max="14" width="35.3796296296296" style="3" customWidth="1"/>
    <col min="15" max="15" width="9.77777777777778" style="3"/>
    <col min="16" max="16" width="15.6666666666667" style="3"/>
    <col min="17" max="16384" width="9" style="3"/>
  </cols>
  <sheetData>
    <row r="1" s="1" customFormat="1" ht="25" customHeight="1" spans="1:16">
      <c r="A1" s="1" t="s">
        <v>0</v>
      </c>
      <c r="B1" s="1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6" t="s">
        <v>11</v>
      </c>
      <c r="N1" s="6" t="s">
        <v>12</v>
      </c>
      <c r="O1" s="7" t="s">
        <v>13</v>
      </c>
      <c r="P1" s="4" t="s">
        <v>14</v>
      </c>
    </row>
    <row r="2" s="2" customFormat="1" ht="48" customHeight="1" spans="1:16">
      <c r="A2" s="2">
        <v>10</v>
      </c>
      <c r="B2" s="2" t="s">
        <v>15</v>
      </c>
      <c r="C2" s="2" t="s">
        <v>16</v>
      </c>
      <c r="D2" s="5" t="s">
        <v>17</v>
      </c>
      <c r="E2" s="5" t="s">
        <v>18</v>
      </c>
      <c r="F2" s="5"/>
      <c r="G2" s="5" t="s">
        <v>19</v>
      </c>
      <c r="H2" s="5"/>
      <c r="I2" s="5" t="s">
        <v>20</v>
      </c>
      <c r="J2" s="2" t="s">
        <v>21</v>
      </c>
      <c r="K2" s="2">
        <v>21</v>
      </c>
      <c r="M2" s="8">
        <v>119.540229885057</v>
      </c>
      <c r="N2" s="8">
        <v>2510.34482758621</v>
      </c>
      <c r="O2" s="8">
        <f>M2*1.3/7.05</f>
        <v>22.042879269585</v>
      </c>
      <c r="P2" s="2">
        <f>O2*K2</f>
        <v>462.900464661285</v>
      </c>
    </row>
    <row r="3" s="2" customFormat="1" ht="99" customHeight="1" spans="1:16">
      <c r="A3" s="2">
        <v>20</v>
      </c>
      <c r="B3" s="2" t="s">
        <v>22</v>
      </c>
      <c r="C3" s="2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2" t="s">
        <v>21</v>
      </c>
      <c r="K3" s="2">
        <v>11</v>
      </c>
      <c r="M3" s="8">
        <v>480</v>
      </c>
      <c r="N3" s="8">
        <v>5280</v>
      </c>
      <c r="O3" s="8">
        <f t="shared" ref="O3:O21" si="0">M3*1.3/7.05</f>
        <v>88.5106382978723</v>
      </c>
      <c r="P3" s="2">
        <f t="shared" ref="P3:P21" si="1">O3*K3</f>
        <v>973.617021276596</v>
      </c>
    </row>
    <row r="4" s="2" customFormat="1" ht="60" spans="1:16">
      <c r="A4" s="2">
        <v>30</v>
      </c>
      <c r="B4" s="2" t="s">
        <v>30</v>
      </c>
      <c r="C4" s="2" t="s">
        <v>31</v>
      </c>
      <c r="D4" s="5" t="s">
        <v>17</v>
      </c>
      <c r="E4" s="5" t="s">
        <v>18</v>
      </c>
      <c r="F4" s="5"/>
      <c r="G4" s="5" t="s">
        <v>27</v>
      </c>
      <c r="H4" s="5" t="s">
        <v>32</v>
      </c>
      <c r="I4" s="5" t="s">
        <v>33</v>
      </c>
      <c r="J4" s="2" t="s">
        <v>21</v>
      </c>
      <c r="K4" s="2">
        <v>2</v>
      </c>
      <c r="M4" s="8">
        <v>220.689655172414</v>
      </c>
      <c r="N4" s="8">
        <v>441.379310344828</v>
      </c>
      <c r="O4" s="8">
        <f t="shared" si="0"/>
        <v>40.6945463438494</v>
      </c>
      <c r="P4" s="2">
        <f t="shared" si="1"/>
        <v>81.3890926876988</v>
      </c>
    </row>
    <row r="5" s="2" customFormat="1" ht="90" spans="1:16">
      <c r="A5" s="2">
        <v>40</v>
      </c>
      <c r="B5" s="2" t="s">
        <v>22</v>
      </c>
      <c r="C5" s="2" t="s">
        <v>34</v>
      </c>
      <c r="D5" s="5" t="s">
        <v>24</v>
      </c>
      <c r="E5" s="5" t="s">
        <v>25</v>
      </c>
      <c r="F5" s="5" t="s">
        <v>35</v>
      </c>
      <c r="G5" s="5" t="s">
        <v>36</v>
      </c>
      <c r="H5" s="5" t="s">
        <v>37</v>
      </c>
      <c r="I5" s="5" t="s">
        <v>38</v>
      </c>
      <c r="J5" s="2" t="s">
        <v>21</v>
      </c>
      <c r="K5" s="2">
        <v>2</v>
      </c>
      <c r="M5" s="8">
        <v>1040</v>
      </c>
      <c r="N5" s="8">
        <v>2080</v>
      </c>
      <c r="O5" s="8">
        <f t="shared" si="0"/>
        <v>191.77304964539</v>
      </c>
      <c r="P5" s="2">
        <f t="shared" si="1"/>
        <v>383.54609929078</v>
      </c>
    </row>
    <row r="6" s="2" customFormat="1" ht="90" spans="1:16">
      <c r="A6" s="2">
        <v>50</v>
      </c>
      <c r="B6" s="2" t="s">
        <v>39</v>
      </c>
      <c r="C6" s="2" t="s">
        <v>40</v>
      </c>
      <c r="D6" s="5" t="s">
        <v>41</v>
      </c>
      <c r="E6" s="5" t="s">
        <v>42</v>
      </c>
      <c r="F6" s="5" t="s">
        <v>43</v>
      </c>
      <c r="G6" s="5" t="s">
        <v>27</v>
      </c>
      <c r="H6" s="5" t="s">
        <v>44</v>
      </c>
      <c r="I6" s="5" t="s">
        <v>45</v>
      </c>
      <c r="J6" s="2" t="s">
        <v>21</v>
      </c>
      <c r="K6" s="2">
        <v>8</v>
      </c>
      <c r="M6" s="8">
        <v>240</v>
      </c>
      <c r="N6" s="8">
        <v>1920</v>
      </c>
      <c r="O6" s="8">
        <f t="shared" si="0"/>
        <v>44.2553191489362</v>
      </c>
      <c r="P6" s="2">
        <f t="shared" si="1"/>
        <v>354.042553191489</v>
      </c>
    </row>
    <row r="7" s="2" customFormat="1" ht="70.2" spans="1:16">
      <c r="A7" s="2">
        <v>60</v>
      </c>
      <c r="B7" s="2" t="s">
        <v>46</v>
      </c>
      <c r="C7" s="2" t="s">
        <v>47</v>
      </c>
      <c r="D7" s="5" t="s">
        <v>24</v>
      </c>
      <c r="E7" s="5" t="s">
        <v>48</v>
      </c>
      <c r="F7" s="5" t="s">
        <v>43</v>
      </c>
      <c r="G7" s="5" t="s">
        <v>49</v>
      </c>
      <c r="H7" s="5" t="s">
        <v>50</v>
      </c>
      <c r="I7" s="5" t="s">
        <v>51</v>
      </c>
      <c r="J7" s="2" t="s">
        <v>21</v>
      </c>
      <c r="K7" s="2">
        <v>8</v>
      </c>
      <c r="M7" s="8">
        <v>360</v>
      </c>
      <c r="N7" s="8">
        <v>2880</v>
      </c>
      <c r="O7" s="8">
        <f t="shared" si="0"/>
        <v>66.3829787234043</v>
      </c>
      <c r="P7" s="2">
        <f t="shared" si="1"/>
        <v>531.063829787234</v>
      </c>
    </row>
    <row r="8" s="2" customFormat="1" ht="88" customHeight="1" spans="1:16">
      <c r="A8" s="2">
        <v>70</v>
      </c>
      <c r="B8" s="2" t="s">
        <v>52</v>
      </c>
      <c r="C8" s="2" t="s">
        <v>53</v>
      </c>
      <c r="D8" s="5" t="s">
        <v>24</v>
      </c>
      <c r="E8" s="5" t="s">
        <v>25</v>
      </c>
      <c r="F8" s="5" t="s">
        <v>43</v>
      </c>
      <c r="G8" s="5" t="s">
        <v>19</v>
      </c>
      <c r="H8" s="5" t="s">
        <v>50</v>
      </c>
      <c r="I8" s="5" t="s">
        <v>51</v>
      </c>
      <c r="J8" s="2" t="s">
        <v>21</v>
      </c>
      <c r="K8" s="2">
        <v>2</v>
      </c>
      <c r="M8" s="8">
        <v>144</v>
      </c>
      <c r="N8" s="8">
        <v>288</v>
      </c>
      <c r="O8" s="8">
        <f t="shared" si="0"/>
        <v>26.5531914893617</v>
      </c>
      <c r="P8" s="2">
        <f t="shared" si="1"/>
        <v>53.1063829787234</v>
      </c>
    </row>
    <row r="9" s="2" customFormat="1" ht="70.2" spans="1:16">
      <c r="A9" s="2">
        <v>80</v>
      </c>
      <c r="B9" s="2" t="s">
        <v>54</v>
      </c>
      <c r="C9" s="2" t="s">
        <v>55</v>
      </c>
      <c r="D9" s="5" t="s">
        <v>24</v>
      </c>
      <c r="E9" s="5" t="s">
        <v>56</v>
      </c>
      <c r="F9" s="5" t="s">
        <v>35</v>
      </c>
      <c r="G9" s="5" t="s">
        <v>49</v>
      </c>
      <c r="H9" s="5" t="s">
        <v>50</v>
      </c>
      <c r="I9" s="5" t="s">
        <v>57</v>
      </c>
      <c r="J9" s="2" t="s">
        <v>21</v>
      </c>
      <c r="K9" s="2">
        <v>4</v>
      </c>
      <c r="M9" s="8">
        <v>200</v>
      </c>
      <c r="N9" s="8">
        <v>800</v>
      </c>
      <c r="O9" s="8">
        <f t="shared" si="0"/>
        <v>36.8794326241135</v>
      </c>
      <c r="P9" s="2">
        <f t="shared" si="1"/>
        <v>147.517730496454</v>
      </c>
    </row>
    <row r="10" s="2" customFormat="1" ht="70.2" spans="1:16">
      <c r="A10" s="2">
        <v>90</v>
      </c>
      <c r="B10" s="2" t="s">
        <v>58</v>
      </c>
      <c r="C10" s="2" t="s">
        <v>59</v>
      </c>
      <c r="D10" s="5" t="s">
        <v>24</v>
      </c>
      <c r="E10" s="5" t="s">
        <v>56</v>
      </c>
      <c r="F10" s="5" t="s">
        <v>35</v>
      </c>
      <c r="G10" s="5" t="s">
        <v>49</v>
      </c>
      <c r="H10" s="5" t="s">
        <v>50</v>
      </c>
      <c r="I10" s="5" t="s">
        <v>57</v>
      </c>
      <c r="J10" s="2" t="s">
        <v>21</v>
      </c>
      <c r="K10" s="2">
        <v>1</v>
      </c>
      <c r="M10" s="8">
        <v>200</v>
      </c>
      <c r="N10" s="8">
        <v>200</v>
      </c>
      <c r="O10" s="8">
        <f t="shared" si="0"/>
        <v>36.8794326241135</v>
      </c>
      <c r="P10" s="2">
        <f t="shared" si="1"/>
        <v>36.8794326241135</v>
      </c>
    </row>
    <row r="11" s="2" customFormat="1" ht="71.4" spans="1:16">
      <c r="A11" s="2">
        <v>100</v>
      </c>
      <c r="B11" s="2" t="s">
        <v>60</v>
      </c>
      <c r="C11" s="2" t="s">
        <v>61</v>
      </c>
      <c r="D11" s="5" t="s">
        <v>17</v>
      </c>
      <c r="E11" s="5" t="s">
        <v>18</v>
      </c>
      <c r="F11" s="5"/>
      <c r="G11" s="5" t="s">
        <v>19</v>
      </c>
      <c r="H11" s="5" t="s">
        <v>32</v>
      </c>
      <c r="I11" s="5" t="s">
        <v>62</v>
      </c>
      <c r="J11" s="2" t="s">
        <v>21</v>
      </c>
      <c r="K11" s="2">
        <v>1</v>
      </c>
      <c r="M11" s="8">
        <v>119.540229885057</v>
      </c>
      <c r="N11" s="8">
        <v>119.540229885057</v>
      </c>
      <c r="O11" s="8">
        <f t="shared" si="0"/>
        <v>22.042879269585</v>
      </c>
      <c r="P11" s="2">
        <f t="shared" si="1"/>
        <v>22.042879269585</v>
      </c>
    </row>
    <row r="12" s="2" customFormat="1" ht="70.2" spans="1:16">
      <c r="A12" s="2">
        <v>110</v>
      </c>
      <c r="B12" s="2" t="s">
        <v>63</v>
      </c>
      <c r="C12" s="2" t="s">
        <v>64</v>
      </c>
      <c r="D12" s="5" t="s">
        <v>24</v>
      </c>
      <c r="E12" s="5" t="s">
        <v>65</v>
      </c>
      <c r="F12" s="5" t="s">
        <v>43</v>
      </c>
      <c r="G12" s="5" t="s">
        <v>27</v>
      </c>
      <c r="H12" s="5" t="s">
        <v>50</v>
      </c>
      <c r="I12" s="5" t="s">
        <v>51</v>
      </c>
      <c r="J12" s="2" t="s">
        <v>21</v>
      </c>
      <c r="K12" s="2">
        <v>4</v>
      </c>
      <c r="M12" s="8">
        <v>296</v>
      </c>
      <c r="N12" s="8">
        <v>1184</v>
      </c>
      <c r="O12" s="8">
        <f t="shared" si="0"/>
        <v>54.5815602836879</v>
      </c>
      <c r="P12" s="2">
        <f t="shared" si="1"/>
        <v>218.326241134752</v>
      </c>
    </row>
    <row r="13" s="2" customFormat="1" ht="90" spans="1:16">
      <c r="A13" s="2">
        <v>120</v>
      </c>
      <c r="B13" s="2" t="s">
        <v>66</v>
      </c>
      <c r="C13" s="2" t="s">
        <v>67</v>
      </c>
      <c r="D13" s="5" t="s">
        <v>24</v>
      </c>
      <c r="E13" s="5" t="s">
        <v>65</v>
      </c>
      <c r="F13" s="5" t="s">
        <v>43</v>
      </c>
      <c r="G13" s="5" t="s">
        <v>27</v>
      </c>
      <c r="H13" s="5" t="s">
        <v>50</v>
      </c>
      <c r="I13" s="5" t="s">
        <v>45</v>
      </c>
      <c r="J13" s="2" t="s">
        <v>21</v>
      </c>
      <c r="K13" s="2">
        <v>11</v>
      </c>
      <c r="M13" s="8">
        <v>296</v>
      </c>
      <c r="N13" s="8">
        <v>3256</v>
      </c>
      <c r="O13" s="8">
        <f t="shared" si="0"/>
        <v>54.5815602836879</v>
      </c>
      <c r="P13" s="2">
        <f t="shared" si="1"/>
        <v>600.397163120567</v>
      </c>
    </row>
    <row r="14" s="2" customFormat="1" ht="90" spans="1:16">
      <c r="A14" s="2">
        <v>130</v>
      </c>
      <c r="B14" s="2" t="s">
        <v>22</v>
      </c>
      <c r="C14" s="2" t="s">
        <v>68</v>
      </c>
      <c r="D14" s="5" t="s">
        <v>24</v>
      </c>
      <c r="E14" s="5" t="s">
        <v>25</v>
      </c>
      <c r="F14" s="5" t="s">
        <v>43</v>
      </c>
      <c r="G14" s="5" t="s">
        <v>27</v>
      </c>
      <c r="H14" s="5" t="s">
        <v>50</v>
      </c>
      <c r="I14" s="5" t="s">
        <v>45</v>
      </c>
      <c r="J14" s="2" t="s">
        <v>21</v>
      </c>
      <c r="K14" s="2">
        <v>10</v>
      </c>
      <c r="M14" s="8">
        <v>296</v>
      </c>
      <c r="N14" s="8">
        <v>2960</v>
      </c>
      <c r="O14" s="8">
        <f t="shared" si="0"/>
        <v>54.5815602836879</v>
      </c>
      <c r="P14" s="2">
        <f t="shared" si="1"/>
        <v>545.81560283688</v>
      </c>
    </row>
    <row r="15" s="2" customFormat="1" ht="70.2" spans="1:16">
      <c r="A15" s="2">
        <v>140</v>
      </c>
      <c r="B15" s="2" t="s">
        <v>63</v>
      </c>
      <c r="C15" s="2" t="s">
        <v>69</v>
      </c>
      <c r="D15" s="5" t="s">
        <v>24</v>
      </c>
      <c r="E15" s="5" t="s">
        <v>65</v>
      </c>
      <c r="F15" s="5" t="s">
        <v>43</v>
      </c>
      <c r="G15" s="5" t="s">
        <v>49</v>
      </c>
      <c r="H15" s="5" t="s">
        <v>50</v>
      </c>
      <c r="I15" s="5" t="s">
        <v>51</v>
      </c>
      <c r="J15" s="2" t="s">
        <v>21</v>
      </c>
      <c r="K15" s="2">
        <v>1</v>
      </c>
      <c r="M15" s="8">
        <v>200</v>
      </c>
      <c r="N15" s="8">
        <v>200</v>
      </c>
      <c r="O15" s="8">
        <f t="shared" si="0"/>
        <v>36.8794326241135</v>
      </c>
      <c r="P15" s="2">
        <f t="shared" si="1"/>
        <v>36.8794326241135</v>
      </c>
    </row>
    <row r="16" s="2" customFormat="1" ht="71.4" spans="1:16">
      <c r="A16" s="2">
        <v>150</v>
      </c>
      <c r="B16" s="2" t="s">
        <v>70</v>
      </c>
      <c r="C16" s="2" t="s">
        <v>71</v>
      </c>
      <c r="D16" s="5" t="s">
        <v>24</v>
      </c>
      <c r="E16" s="5" t="s">
        <v>56</v>
      </c>
      <c r="F16" s="5" t="s">
        <v>72</v>
      </c>
      <c r="G16" s="5" t="s">
        <v>73</v>
      </c>
      <c r="H16" s="5" t="s">
        <v>50</v>
      </c>
      <c r="I16" s="5" t="s">
        <v>74</v>
      </c>
      <c r="J16" s="2" t="s">
        <v>21</v>
      </c>
      <c r="K16" s="2">
        <v>9</v>
      </c>
      <c r="M16" s="8">
        <v>216</v>
      </c>
      <c r="N16" s="8">
        <v>1944</v>
      </c>
      <c r="O16" s="8">
        <f t="shared" si="0"/>
        <v>39.8297872340426</v>
      </c>
      <c r="P16" s="2">
        <f t="shared" si="1"/>
        <v>358.468085106383</v>
      </c>
    </row>
    <row r="17" s="2" customFormat="1" ht="71.4" spans="1:16">
      <c r="A17" s="2">
        <v>160</v>
      </c>
      <c r="B17" s="2" t="s">
        <v>66</v>
      </c>
      <c r="C17" s="2" t="s">
        <v>75</v>
      </c>
      <c r="D17" s="5" t="s">
        <v>24</v>
      </c>
      <c r="E17" s="5" t="s">
        <v>65</v>
      </c>
      <c r="F17" s="5" t="s">
        <v>76</v>
      </c>
      <c r="G17" s="5" t="s">
        <v>27</v>
      </c>
      <c r="H17" s="5" t="s">
        <v>50</v>
      </c>
      <c r="I17" s="5" t="s">
        <v>77</v>
      </c>
      <c r="J17" s="2" t="s">
        <v>21</v>
      </c>
      <c r="K17" s="2">
        <v>3</v>
      </c>
      <c r="M17" s="8">
        <v>2432</v>
      </c>
      <c r="N17" s="8">
        <v>7296</v>
      </c>
      <c r="O17" s="8">
        <f t="shared" si="0"/>
        <v>448.45390070922</v>
      </c>
      <c r="P17" s="2">
        <f t="shared" si="1"/>
        <v>1345.36170212766</v>
      </c>
    </row>
    <row r="18" s="2" customFormat="1" ht="70.2" spans="1:16">
      <c r="A18" s="2">
        <v>170</v>
      </c>
      <c r="B18" s="2" t="s">
        <v>78</v>
      </c>
      <c r="C18" s="2" t="s">
        <v>79</v>
      </c>
      <c r="D18" s="5" t="s">
        <v>24</v>
      </c>
      <c r="E18" s="5" t="s">
        <v>56</v>
      </c>
      <c r="F18" s="5" t="s">
        <v>43</v>
      </c>
      <c r="G18" s="5" t="s">
        <v>27</v>
      </c>
      <c r="H18" s="5" t="s">
        <v>50</v>
      </c>
      <c r="I18" s="5" t="s">
        <v>51</v>
      </c>
      <c r="J18" s="2" t="s">
        <v>21</v>
      </c>
      <c r="K18" s="2">
        <v>6</v>
      </c>
      <c r="M18" s="8">
        <v>192</v>
      </c>
      <c r="N18" s="8">
        <v>1152</v>
      </c>
      <c r="O18" s="8">
        <f t="shared" si="0"/>
        <v>35.4042553191489</v>
      </c>
      <c r="P18" s="2">
        <f t="shared" si="1"/>
        <v>212.425531914894</v>
      </c>
    </row>
    <row r="19" s="2" customFormat="1" ht="85.2" spans="1:16">
      <c r="A19" s="2">
        <v>180</v>
      </c>
      <c r="B19" s="2" t="s">
        <v>60</v>
      </c>
      <c r="C19" s="2" t="s">
        <v>80</v>
      </c>
      <c r="D19" s="5" t="s">
        <v>17</v>
      </c>
      <c r="E19" s="5" t="s">
        <v>18</v>
      </c>
      <c r="F19" s="5"/>
      <c r="G19" s="5" t="s">
        <v>27</v>
      </c>
      <c r="H19" s="5" t="s">
        <v>50</v>
      </c>
      <c r="I19" s="5" t="s">
        <v>81</v>
      </c>
      <c r="J19" s="2" t="s">
        <v>21</v>
      </c>
      <c r="K19" s="2">
        <v>3</v>
      </c>
      <c r="M19" s="8">
        <v>220.689655172414</v>
      </c>
      <c r="N19" s="8">
        <v>662.068965517242</v>
      </c>
      <c r="O19" s="8">
        <f t="shared" si="0"/>
        <v>40.6945463438494</v>
      </c>
      <c r="P19" s="2">
        <f t="shared" si="1"/>
        <v>122.083639031548</v>
      </c>
    </row>
    <row r="20" s="2" customFormat="1" ht="60" spans="1:16">
      <c r="A20" s="2">
        <v>190</v>
      </c>
      <c r="B20" s="2" t="s">
        <v>82</v>
      </c>
      <c r="C20" s="2" t="s">
        <v>83</v>
      </c>
      <c r="D20" s="5" t="s">
        <v>17</v>
      </c>
      <c r="E20" s="5" t="s">
        <v>18</v>
      </c>
      <c r="F20" s="5" t="s">
        <v>84</v>
      </c>
      <c r="G20" s="5" t="s">
        <v>27</v>
      </c>
      <c r="H20" s="5" t="s">
        <v>32</v>
      </c>
      <c r="I20" s="5" t="s">
        <v>85</v>
      </c>
      <c r="J20" s="2" t="s">
        <v>21</v>
      </c>
      <c r="K20" s="2">
        <v>3</v>
      </c>
      <c r="M20" s="8">
        <v>0</v>
      </c>
      <c r="N20" s="8">
        <v>0</v>
      </c>
      <c r="O20" s="8">
        <f t="shared" si="0"/>
        <v>0</v>
      </c>
      <c r="P20" s="2">
        <f t="shared" si="1"/>
        <v>0</v>
      </c>
    </row>
    <row r="21" s="2" customFormat="1" ht="60" spans="1:16">
      <c r="A21" s="2">
        <v>200</v>
      </c>
      <c r="B21" s="2" t="s">
        <v>86</v>
      </c>
      <c r="C21" s="2" t="s">
        <v>87</v>
      </c>
      <c r="D21" s="5" t="s">
        <v>88</v>
      </c>
      <c r="E21" s="5" t="s">
        <v>89</v>
      </c>
      <c r="F21" s="5" t="s">
        <v>43</v>
      </c>
      <c r="G21" s="5" t="s">
        <v>19</v>
      </c>
      <c r="H21" s="5" t="s">
        <v>50</v>
      </c>
      <c r="I21" s="5" t="s">
        <v>51</v>
      </c>
      <c r="J21" s="2" t="s">
        <v>21</v>
      </c>
      <c r="K21" s="2">
        <v>2</v>
      </c>
      <c r="M21" s="8">
        <v>136</v>
      </c>
      <c r="N21" s="8">
        <v>272</v>
      </c>
      <c r="O21" s="8">
        <f t="shared" si="0"/>
        <v>25.0780141843972</v>
      </c>
      <c r="P21" s="2">
        <f t="shared" si="1"/>
        <v>50.1560283687943</v>
      </c>
    </row>
    <row r="22" s="2" customFormat="1" ht="15" spans="1:16">
      <c r="A22" s="2">
        <v>210</v>
      </c>
      <c r="B22" s="2" t="s">
        <v>90</v>
      </c>
      <c r="J22" s="2" t="s">
        <v>91</v>
      </c>
      <c r="K22" s="2">
        <v>1</v>
      </c>
      <c r="M22" s="8"/>
      <c r="N22" s="8">
        <v>35445.3333333333</v>
      </c>
      <c r="O22" s="8" t="s">
        <v>92</v>
      </c>
      <c r="P22" s="2">
        <f>SUM(P2:P21)</f>
        <v>6536.01891252955</v>
      </c>
    </row>
    <row r="23" s="2" customFormat="1" ht="15" spans="1:11">
      <c r="A23" s="2">
        <v>220</v>
      </c>
      <c r="B23" s="2" t="s">
        <v>93</v>
      </c>
      <c r="J23" s="2" t="s">
        <v>91</v>
      </c>
      <c r="K23" s="2">
        <v>1</v>
      </c>
    </row>
    <row r="24" s="1" customFormat="1" ht="25" customHeight="1"/>
    <row r="25" s="1" customFormat="1" ht="25" customHeight="1"/>
    <row r="26" s="1" customFormat="1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2025-10-15T06:53:00Z</dcterms:created>
  <dcterms:modified xsi:type="dcterms:W3CDTF">2025-10-15T06:58:10Z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846C5AABDD0548D2862A4AE1E0503B92_13</vt:lpwstr>
  </property>
  <property fmtid="{D5CDD505-2E9C-101B-9397-08002B2CF9AE}" pid="3" name="KSOProductBuildVer">
    <vt:lpwstr>2052-12.1.0.22529</vt:lpwstr>
  </property>
</Properties>
</file>