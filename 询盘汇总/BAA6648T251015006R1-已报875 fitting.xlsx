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Sheet1!$A$2:$V$403</definedName>
    <definedName name="\A">#REF!</definedName>
    <definedName name="\g">[1]BP!#REF!</definedName>
    <definedName name="\k">[2]KP1590_E!#REF!</definedName>
    <definedName name="\L">#REF!</definedName>
    <definedName name="\O">#REF!</definedName>
    <definedName name="\P">#REF!</definedName>
    <definedName name="\r">#REF!</definedName>
    <definedName name="\u">#N/A</definedName>
    <definedName name="\V">#REF!</definedName>
    <definedName name="\x">[2]KP1590_E!#REF!</definedName>
    <definedName name="\z">[2]KP1590_E!#REF!</definedName>
    <definedName name="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SF4301">#REF!</definedName>
    <definedName name="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SF4301">#REF!</definedName>
    <definedName name="________SF4301">#REF!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F4301">#REF!</definedName>
    <definedName name="______SF4301">#REF!</definedName>
    <definedName name="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F4301">#REF!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F4301">#REF!</definedName>
    <definedName name="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F4301">#REF!</definedName>
    <definedName name="__SF4301">#REF!</definedName>
    <definedName name="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Fill" hidden="1">#REF!</definedName>
    <definedName name="_mhr1">#REF!</definedName>
    <definedName name="_mhr2">#REF!</definedName>
    <definedName name="_mhr3">#REF!</definedName>
    <definedName name="_mhr4">#REF!</definedName>
    <definedName name="_ngl3">#REF!</definedName>
    <definedName name="_ngl4">#REF!</definedName>
    <definedName name="_Order1" hidden="1">255</definedName>
    <definedName name="_Order2" hidden="1">255</definedName>
    <definedName name="_qty1">#REF!</definedName>
    <definedName name="_qty2">#REF!</definedName>
    <definedName name="_qty3">#REF!</definedName>
    <definedName name="_qty4">#REF!</definedName>
    <definedName name="_Regression_Int">1</definedName>
    <definedName name="_SF4301">#REF!</definedName>
    <definedName name="A">#REF!</definedName>
    <definedName name="AccessSort">#REF!</definedName>
    <definedName name="aCTUATORS">#REF!</definedName>
    <definedName name="aff">#REF!</definedName>
    <definedName name="AFSDF">#REF!</definedName>
    <definedName name="ALI">#REF!</definedName>
    <definedName name="ALL_SHEETS">[3]Insts!#REF!</definedName>
    <definedName name="AMEC_ENGINEERING">'[4]OIL SYST DATA SHTS'!#REF!</definedName>
    <definedName name="APAGE">#REF!</definedName>
    <definedName name="AREA">#REF!</definedName>
    <definedName name="ASDFASDF">#REF!</definedName>
    <definedName name="BLKPAGE">#REF!</definedName>
    <definedName name="BLUELETTERS">#REF!,#REF!,#REF!,#REF!,#REF!,#REF!</definedName>
    <definedName name="BPAGE">#REF!</definedName>
    <definedName name="Busduct">'[5]PRICE-COMP'!#REF!</definedName>
    <definedName name="C_">#REF!</definedName>
    <definedName name="CABLES">[3]Insts!#REF!</definedName>
    <definedName name="CIVIL_WORKS">[3]Insts!#REF!</definedName>
    <definedName name="CLIENT_REF">#REF!</definedName>
    <definedName name="CON">#REF!</definedName>
    <definedName name="contin">#REF!</definedName>
    <definedName name="continuos">#REF!</definedName>
    <definedName name="continuous">'[6]DATA INPUT'!$G$46</definedName>
    <definedName name="COST_SUMMARY">#REF!</definedName>
    <definedName name="CPAGE">#REF!</definedName>
    <definedName name="_xlnm.Criteria">#REF!</definedName>
    <definedName name="CSVheader">#REF!</definedName>
    <definedName name="Data">#REF!</definedName>
    <definedName name="Database">#REF!</definedName>
    <definedName name="DatatoExport">#REF!</definedName>
    <definedName name="DatatoExporttoAccess">#REF!</definedName>
    <definedName name="date">#REF!</definedName>
    <definedName name="DEMOLISION_INST">#REF!</definedName>
    <definedName name="DFSAF">#REF!</definedName>
    <definedName name="DOC_ID">#REF!</definedName>
    <definedName name="DOC_ID2">#REF!</definedName>
    <definedName name="DOC_TYPE">#REF!</definedName>
    <definedName name="DPAGE">#REF!</definedName>
    <definedName name="DSTITLE">#REF!</definedName>
    <definedName name="dukhan">#REF!</definedName>
    <definedName name="EARTHING_MATERI">[3]Insts!#REF!</definedName>
    <definedName name="EPAGE">#REF!</definedName>
    <definedName name="EQUIPMENTLIST">#REF!</definedName>
    <definedName name="EQUIPMENTLISTINDEX">#REF!</definedName>
    <definedName name="ESTRAZIONE">#REF!</definedName>
    <definedName name="feeder">[7]Data!$J$12:$L$13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irealarm">'[5]PRICE-COMP'!#REF!</definedName>
    <definedName name="FPAGE">#REF!</definedName>
    <definedName name="fs_01">#REF!</definedName>
    <definedName name="future">'[6]DATA INPUT'!$G$52</definedName>
    <definedName name="fv">#REF!</definedName>
    <definedName name="GA_408">"GA-408"</definedName>
    <definedName name="Generator">'[5]PRICE-COMP'!#REF!</definedName>
    <definedName name="GLANDS">[3]Insts!#REF!</definedName>
    <definedName name="HEADER">#REF!</definedName>
    <definedName name="HEADINGS">#REF!</definedName>
    <definedName name="heat">[7]Data!$J$6:$L$6</definedName>
    <definedName name="HOOK_UP_MATERIA">[3]Insts!#REF!</definedName>
    <definedName name="IMPRESSION">#REF!</definedName>
    <definedName name="INSTRUMENTS">[3]Insts!#REF!</definedName>
    <definedName name="intermittent">'[6]DATA INPUT'!$G$48</definedName>
    <definedName name="INTROD">[2]KP1590_E!#REF!</definedName>
    <definedName name="isolator">'[5]PRICE-COMP'!#REF!</definedName>
    <definedName name="JB_REF">#REF!</definedName>
    <definedName name="JBA_101">#REF!</definedName>
    <definedName name="JUNCTION_BOXE">[3]Insts!#REF!</definedName>
    <definedName name="LABOUR">#REF!</definedName>
    <definedName name="language">'[5]PRICE-COMP'!#REF!</definedName>
    <definedName name="LEVEL_INSTRUMENTS___DISPLACEMENT_TYPE">#REF!</definedName>
    <definedName name="light">[7]Data!$J$10:$L$10</definedName>
    <definedName name="LIGHT_FITTINGS">[3]Insts!#REF!</definedName>
    <definedName name="Lighting">'[5]PRICE-COMP'!#REF!</definedName>
    <definedName name="m">#REF!</definedName>
    <definedName name="matlN">#REF!</definedName>
    <definedName name="matlP">#REF!</definedName>
    <definedName name="matlP2">#REF!</definedName>
    <definedName name="MENU1">[2]KP1590_E!#REF!</definedName>
    <definedName name="MOD">#REF!</definedName>
    <definedName name="motor">#REF!</definedName>
    <definedName name="motor2">[7]Data!$A$5:$C$34</definedName>
    <definedName name="motor4">[7]Data!$E$5:$G$34</definedName>
    <definedName name="MP_CLIENTREVISION0">#REF!</definedName>
    <definedName name="MP_CLIENTREVISION1">#REF!</definedName>
    <definedName name="MP_CLIENTREVISION2">#REF!</definedName>
    <definedName name="MP_DOCAPPROVER0">#REF!</definedName>
    <definedName name="MP_DOCAPPROVER1">#REF!</definedName>
    <definedName name="MP_DOCAPPROVER2">#REF!</definedName>
    <definedName name="MP_DOCCHECKER0">#REF!</definedName>
    <definedName name="MP_DOCCHECKER1">#REF!</definedName>
    <definedName name="MP_DOCCHECKER2">#REF!</definedName>
    <definedName name="MP_DOCID">#REF!</definedName>
    <definedName name="MP_DOCISSSTADAT">#REF!</definedName>
    <definedName name="MP_DOCISSSTADAT0">#REF!</definedName>
    <definedName name="MP_DOCISSSTADAT1">#REF!</definedName>
    <definedName name="MP_DOCISSSTADAT2">#REF!</definedName>
    <definedName name="MP_DOCREVDES0">#REF!</definedName>
    <definedName name="MP_DOCREVDES1">#REF!</definedName>
    <definedName name="MP_DOCREVDES2">#REF!</definedName>
    <definedName name="MP_EQ_002">#REF!</definedName>
    <definedName name="MP_EQ_003">#REF!</definedName>
    <definedName name="MP_EQ_004">#REF!</definedName>
    <definedName name="MP_EQ_005">#REF!</definedName>
    <definedName name="MP_EQ_006">#REF!</definedName>
    <definedName name="MP_EQ_007">#REF!</definedName>
    <definedName name="MP_EQ_008">#REF!</definedName>
    <definedName name="MP_EQ_009">#REF!</definedName>
    <definedName name="MP_EQ_010">#REF!</definedName>
    <definedName name="MP_EQ_011">#REF!</definedName>
    <definedName name="MP_EQ_012">#REF!</definedName>
    <definedName name="MP_EQ_013">#REF!</definedName>
    <definedName name="MP_EQ_014">#REF!</definedName>
    <definedName name="MP_EQ_015">#REF!</definedName>
    <definedName name="MP_EQ_016">#REF!</definedName>
    <definedName name="MP_EQ_017">#REF!</definedName>
    <definedName name="MP_EQ_018">#REF!</definedName>
    <definedName name="MP_EQ_019">#REF!</definedName>
    <definedName name="MP_EQ_020">#REF!</definedName>
    <definedName name="MP_EQ_021">#REF!</definedName>
    <definedName name="MP_EQ_022">#REF!</definedName>
    <definedName name="MP_EQ_023">#REF!</definedName>
    <definedName name="MP_EQ_024">#REF!</definedName>
    <definedName name="MP_EQ_025">#REF!</definedName>
    <definedName name="MP_EQ_026">#REF!</definedName>
    <definedName name="MP_EQ_027">#REF!</definedName>
    <definedName name="MP_EQ_028">#REF!</definedName>
    <definedName name="MP_EQ_029">#REF!</definedName>
    <definedName name="MP_EQ_030">#REF!</definedName>
    <definedName name="MP_EQ_031">#REF!</definedName>
    <definedName name="MP_EQ_032">#REF!</definedName>
    <definedName name="MP_EQ_033">#REF!</definedName>
    <definedName name="MP_EQ_034">#REF!</definedName>
    <definedName name="MP_EQ_035">#REF!</definedName>
    <definedName name="MP_EQ_036">#REF!</definedName>
    <definedName name="MP_EQ_037">#REF!</definedName>
    <definedName name="MP_EQ_038">#REF!</definedName>
    <definedName name="MP_EQ_039">#REF!</definedName>
    <definedName name="MP_EQ_040">#REF!</definedName>
    <definedName name="MP_EQ_041">#REF!</definedName>
    <definedName name="MP_EQ_042">#REF!</definedName>
    <definedName name="MP_EQ_043">#REF!</definedName>
    <definedName name="MP_EQ_044">#REF!</definedName>
    <definedName name="MP_EQ_045">#REF!</definedName>
    <definedName name="MP_EQ_046">#REF!</definedName>
    <definedName name="MP_EQ_047">#REF!</definedName>
    <definedName name="MP_EQ_048">#REF!</definedName>
    <definedName name="MP_EQ_049">#REF!</definedName>
    <definedName name="MP_EQ_050">#REF!</definedName>
    <definedName name="MP_EQDESC_002">#REF!</definedName>
    <definedName name="MP_EQDESC_003">#REF!</definedName>
    <definedName name="MP_EQDESC_004">#REF!</definedName>
    <definedName name="MP_EQDESC_005">#REF!</definedName>
    <definedName name="MP_EQDESC_006">#REF!</definedName>
    <definedName name="MP_EQDESC_007">#REF!</definedName>
    <definedName name="MP_EQDESC_008">#REF!</definedName>
    <definedName name="MP_EQDESC_009">#REF!</definedName>
    <definedName name="MP_EQDESC_010">#REF!</definedName>
    <definedName name="MP_EQDESC_011">#REF!</definedName>
    <definedName name="MP_EQDESC_012">#REF!</definedName>
    <definedName name="MP_EQDESC_013">#REF!</definedName>
    <definedName name="MP_EQDESC_014">#REF!</definedName>
    <definedName name="MP_EQDESC_015">#REF!</definedName>
    <definedName name="MP_EQDESC_016">#REF!</definedName>
    <definedName name="MP_EQDESC_017">#REF!</definedName>
    <definedName name="MP_EQDESC_018">#REF!</definedName>
    <definedName name="MP_EQDESC_019">#REF!</definedName>
    <definedName name="MP_EQDESC_020">#REF!</definedName>
    <definedName name="MP_EQDESC_021">#REF!</definedName>
    <definedName name="MP_EQDESC_022">#REF!</definedName>
    <definedName name="MP_EQDESC_023">#REF!</definedName>
    <definedName name="MP_EQDESC_024">#REF!</definedName>
    <definedName name="MP_EQDESC_025">#REF!</definedName>
    <definedName name="MP_EQDESC_026">#REF!</definedName>
    <definedName name="MP_EQDESC_027">#REF!</definedName>
    <definedName name="MP_EQDESC_028">#REF!</definedName>
    <definedName name="MP_EQDESC_029">#REF!</definedName>
    <definedName name="MP_EQDESC_030">#REF!</definedName>
    <definedName name="MP_EQDESC_031">#REF!</definedName>
    <definedName name="MP_EQDESC_032">#REF!</definedName>
    <definedName name="MP_EQDESC_033">#REF!</definedName>
    <definedName name="MP_EQDESC_034">#REF!</definedName>
    <definedName name="MP_EQDESC_035">#REF!</definedName>
    <definedName name="MP_EQDESC_036">#REF!</definedName>
    <definedName name="MP_EQDESC_037">#REF!</definedName>
    <definedName name="MP_EQDESC_038">#REF!</definedName>
    <definedName name="MP_EQDESC_039">#REF!</definedName>
    <definedName name="MP_EQDESC_040">#REF!</definedName>
    <definedName name="MP_EQDESC_041">#REF!</definedName>
    <definedName name="MP_EQDESC_042">#REF!</definedName>
    <definedName name="MP_EQDESC_043">#REF!</definedName>
    <definedName name="MP_EQDESC_044">#REF!</definedName>
    <definedName name="MP_EQDESC_045">#REF!</definedName>
    <definedName name="MP_EQDESC_046">#REF!</definedName>
    <definedName name="MP_EQDESC_047">#REF!</definedName>
    <definedName name="MP_EQDESC_048">#REF!</definedName>
    <definedName name="MP_EQDESC_049">#REF!</definedName>
    <definedName name="MP_EQDESC_050">#REF!</definedName>
    <definedName name="MP_EQUIPDESC">#REF!</definedName>
    <definedName name="MP_EQUIPNR">#REF!</definedName>
    <definedName name="MP_EXTREVISION">#REF!</definedName>
    <definedName name="MP_ORIGIN0">#REF!</definedName>
    <definedName name="MP_ORIGIN1">#REF!</definedName>
    <definedName name="MP_ORIGIN2">#REF!</definedName>
    <definedName name="MP_PROCLIENT">#REF!</definedName>
    <definedName name="MP_PROJECTNAME">#REF!</definedName>
    <definedName name="MP_PROLOCATION">#REF!</definedName>
    <definedName name="MP_PROSHORTNAME">#REF!</definedName>
    <definedName name="MP_REQSUBCNO">#REF!</definedName>
    <definedName name="MP_WRDSENDERGRPCOD">#REF!</definedName>
    <definedName name="MSB">'[5]PRICE-COMP'!#REF!</definedName>
    <definedName name="naff">[8]Alternator!#REF!</definedName>
    <definedName name="ngl4tank">#REF!</definedName>
    <definedName name="NOMDOC">#REF!</definedName>
    <definedName name="note">#REF!</definedName>
    <definedName name="NOTE4">#REF!</definedName>
    <definedName name="NUMSPEC">[8]Alternator!#REF!</definedName>
    <definedName name="ORPL">"""ORPL"""</definedName>
    <definedName name="P">[9]BOQ!#REF!</definedName>
    <definedName name="PA_client">#REF!</definedName>
    <definedName name="PA_clientref">#REF!</definedName>
    <definedName name="PA_discipline">#REF!</definedName>
    <definedName name="PA_doctype">#REF!</definedName>
    <definedName name="PA_initiated_userid1">#REF!</definedName>
    <definedName name="PA_initiated_userid2">#REF!</definedName>
    <definedName name="PA_initiated_userid3">#REF!</definedName>
    <definedName name="PA_initiated_userid4">#REF!</definedName>
    <definedName name="PA_initiated_userid5">#REF!</definedName>
    <definedName name="PA_initiated_userid6">#REF!</definedName>
    <definedName name="PA_initiated_userid7">#REF!</definedName>
    <definedName name="PA_initiated_userid8">#REF!</definedName>
    <definedName name="PA_initiated_userid9">#REF!</definedName>
    <definedName name="PA_issuestatus1">#REF!</definedName>
    <definedName name="PA_issuestatus2">#REF!</definedName>
    <definedName name="PA_issuestatus3">#REF!</definedName>
    <definedName name="PA_issuestatus4">#REF!</definedName>
    <definedName name="PA_issuestatus5">#REF!</definedName>
    <definedName name="PA_issuestatus6">#REF!</definedName>
    <definedName name="PA_issuestatus7">#REF!</definedName>
    <definedName name="PA_issuestatus8">#REF!</definedName>
    <definedName name="PA_issuestatus9">#REF!</definedName>
    <definedName name="PA_ourreference">#REF!</definedName>
    <definedName name="PA_project">#REF!</definedName>
    <definedName name="PA_revision">#REF!</definedName>
    <definedName name="PA_revision1">#REF!</definedName>
    <definedName name="PA_revision2">#REF!</definedName>
    <definedName name="PA_revision3">#REF!</definedName>
    <definedName name="PA_revision4">#REF!</definedName>
    <definedName name="PA_revision5">#REF!</definedName>
    <definedName name="PA_revision6">#REF!</definedName>
    <definedName name="PA_revision7">#REF!</definedName>
    <definedName name="PA_revision8">#REF!</definedName>
    <definedName name="PA_revision9">#REF!</definedName>
    <definedName name="PA_subject">#REF!</definedName>
    <definedName name="PA_system">#REF!</definedName>
    <definedName name="PA_vessel">#REF!</definedName>
    <definedName name="PAGE2">#REF!</definedName>
    <definedName name="PAGE7">#REF!</definedName>
    <definedName name="PILOTVLV">#REF!</definedName>
    <definedName name="PNEUTX">#REF!</definedName>
    <definedName name="ppcontiuous">'[6]DATA INPUT'!$G$56</definedName>
    <definedName name="ppfuture">'[6]DATA INPUT'!$G$62</definedName>
    <definedName name="ppintermitent">'[6]DATA INPUT'!$G$58</definedName>
    <definedName name="ppstandby">'[6]DATA INPUT'!$G$60</definedName>
    <definedName name="Print_Area_MI">#REF!</definedName>
    <definedName name="PRO_NAME">#REF!</definedName>
    <definedName name="PROJECT">#REF!</definedName>
    <definedName name="PROPOSAL_SUMMARY">#REF!</definedName>
    <definedName name="PUSH_BUTTONS">[3]Insts!#REF!</definedName>
    <definedName name="Recorder">#REF!</definedName>
    <definedName name="RESET">#REF!</definedName>
    <definedName name="rev">#REF!</definedName>
    <definedName name="REVISION">#REF!</definedName>
    <definedName name="SDASDAD">#REF!</definedName>
    <definedName name="sds">#REF!</definedName>
    <definedName name="SF4201totkvar">#REF!</definedName>
    <definedName name="SF4201totkW">#REF!</definedName>
    <definedName name="Sheet1">#REF!</definedName>
    <definedName name="Sheet2">'[10]Electrical Load List'!#REF!</definedName>
    <definedName name="Sheet3">'[10]Electrical Load List'!#REF!</definedName>
    <definedName name="Sheet4">'[10]Electrical Load List'!#REF!</definedName>
    <definedName name="Sheet5">'[10]Electrical Load List'!#REF!</definedName>
    <definedName name="Sheet6">'[10]Electrical Load List'!#REF!</definedName>
    <definedName name="sigle">#REF!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TAN">#REF!</definedName>
    <definedName name="standby">'[6]DATA INPUT'!$G$50</definedName>
    <definedName name="Status">#REF!</definedName>
    <definedName name="SUBHEADER">#REF!</definedName>
    <definedName name="SWITCHGEAR_MCC">[3]Insts!#REF!</definedName>
    <definedName name="SYSTEM">#REF!</definedName>
    <definedName name="T900_949">#N/A</definedName>
    <definedName name="tbl_Temp">#REF!</definedName>
    <definedName name="TEMP">#REF!</definedName>
    <definedName name="TEST">[2]KP1590_E!#REF!</definedName>
    <definedName name="TITLE">#REF!</definedName>
    <definedName name="titre1">#REF!</definedName>
    <definedName name="titre2">#REF!</definedName>
    <definedName name="titreb">#REF!</definedName>
    <definedName name="titreb1">#REF!</definedName>
    <definedName name="titreb2">[8]Alternator!#REF!</definedName>
    <definedName name="TopsideAirCompr">#REF!</definedName>
    <definedName name="topsideaircomprkvar">#REF!</definedName>
    <definedName name="TopsideAirComprkw">#REF!</definedName>
    <definedName name="Topsideairdryer">#REF!</definedName>
    <definedName name="TOTAL1">#N/A</definedName>
    <definedName name="TOTAL2">#N/A</definedName>
    <definedName name="TotalkWEMMCCSf4201">#REF!</definedName>
    <definedName name="TotEmNO">#REF!</definedName>
    <definedName name="TotEmNOvar">#REF!</definedName>
    <definedName name="TRAYS_CABLE">[3]Insts!#REF!</definedName>
    <definedName name="V">#REF!</definedName>
    <definedName name="wirilight">'[5]PRICE-COMP'!#REF!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W">[11]Alternator!#REF!</definedName>
    <definedName name="WWW">[11]Alternator!#REF!</definedName>
    <definedName name="WWWW">[11]Alternator!#REF!</definedName>
    <definedName name="Zone_impres_MI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<sst xmlns="http://schemas.openxmlformats.org/spreadsheetml/2006/main" count="4511" uniqueCount="480">
  <si>
    <t>注意有些需要3.2证书</t>
  </si>
  <si>
    <r>
      <rPr>
        <sz val="11"/>
        <rFont val="宋体"/>
        <charset val="134"/>
        <scheme val="minor"/>
      </rPr>
      <t xml:space="preserve">Quantity
</t>
    </r>
    <r>
      <rPr>
        <b/>
        <sz val="11"/>
        <rFont val="宋体"/>
        <charset val="134"/>
        <scheme val="minor"/>
      </rPr>
      <t>(For Seatrium Input Only)</t>
    </r>
  </si>
  <si>
    <t>Unit</t>
  </si>
  <si>
    <t>m</t>
  </si>
  <si>
    <t xml:space="preserve">QTY </t>
  </si>
  <si>
    <t>UOM</t>
  </si>
  <si>
    <t>Description</t>
  </si>
  <si>
    <t>名称</t>
  </si>
  <si>
    <t>外径</t>
  </si>
  <si>
    <t>壁厚</t>
  </si>
  <si>
    <t>压力</t>
  </si>
  <si>
    <t>标准</t>
  </si>
  <si>
    <t>材质</t>
  </si>
  <si>
    <t>备注</t>
  </si>
  <si>
    <t>证书要求</t>
  </si>
  <si>
    <t>Remarks</t>
  </si>
  <si>
    <t xml:space="preserve">Unit price </t>
  </si>
  <si>
    <t>Total price</t>
  </si>
  <si>
    <t>单价</t>
  </si>
  <si>
    <t>总价</t>
  </si>
  <si>
    <t>报价单价</t>
  </si>
  <si>
    <t>报价总价</t>
  </si>
  <si>
    <t>报价美元单价</t>
  </si>
  <si>
    <t>报价美元总价</t>
  </si>
  <si>
    <t>重量</t>
  </si>
  <si>
    <t>ea</t>
  </si>
  <si>
    <t>pcs</t>
  </si>
  <si>
    <t>2" x WT=5.6mm 45  Deg. Elbow 3D, EN 10253-4, Type B, BE, Wst 1.4401/1.4404 to EN 10216-5</t>
  </si>
  <si>
    <t>45 度弯头（45 Deg. Elbow）</t>
  </si>
  <si>
    <t>2"</t>
  </si>
  <si>
    <t>5.6mm</t>
  </si>
  <si>
    <t>EN 10253-4、EN 10216-5</t>
  </si>
  <si>
    <t>Wst 1.4401/1.4404（符合 EN 10216-5）</t>
  </si>
  <si>
    <t>1. 弯曲半径：3D；2. 类型：Type B；3. 连接形式：BE（对焊端）</t>
  </si>
  <si>
    <t>3.2证书  CE/PED合规</t>
  </si>
  <si>
    <t>Class I Piping</t>
  </si>
  <si>
    <t>2" x WT=5.6mm 90  Deg. Elbow 3D, EN 10253-4, Type B, BE, Wst 1.4401/1.4404 to EN 10216-5</t>
  </si>
  <si>
    <t>90 度弯头（90 Deg. Elbow）</t>
  </si>
  <si>
    <t>2" x WT=5.6mm Eq. Tee, EN 10253-4, Type B, BE, Wst 1.4401/1.4404 to EN 10216-5</t>
  </si>
  <si>
    <t>等径三通（Eq. Tee）</t>
  </si>
  <si>
    <t>1. 类型：Type B；2. 连接形式：BE（对焊端）</t>
  </si>
  <si>
    <t>2" x WT=5.6mm WN Flg., EN 1092-1, PN100, RFFE, Wst 1.4401/1.4404 to EN 10222-5</t>
  </si>
  <si>
    <t>对焊法兰（WN Flg.）</t>
  </si>
  <si>
    <t>PN100（10.0MPa）</t>
  </si>
  <si>
    <t>EN 1092-1、EN 10222-5</t>
  </si>
  <si>
    <t>Wst 1.4401/1.4404（符合 EN 10222-5）</t>
  </si>
  <si>
    <t>密封面形式：RFFE（凸面全平面）</t>
  </si>
  <si>
    <t>2" Blind Flg., EN 1092-1, PN100, RFFE, Wst 1.4401/1.4404 to EN 10222-5</t>
  </si>
  <si>
    <t>盲板法兰（Blind Flg.）</t>
  </si>
  <si>
    <t>12" x WT=4.5mm 45  Deg. Elbow 3D, EN 10253-4, BE, Wst 1.4401/1.4404 to EN 10216-5</t>
  </si>
  <si>
    <t>12"</t>
  </si>
  <si>
    <t>4.5mm</t>
  </si>
  <si>
    <t>1. 弯曲半径：3D；2. 连接形式：BE（对焊端）</t>
  </si>
  <si>
    <t>3.1证书  CE/PED合规</t>
  </si>
  <si>
    <t>2" x WT=2.9mm 45  Deg. Elbow 3D, EN 10253-4, BE, Wst 1.4401/1.4404 to EN 10216-5</t>
  </si>
  <si>
    <t>2.9mm</t>
  </si>
  <si>
    <t>3" x WT=2.9mm 45  Deg. Elbow 3D, EN 10253-4, BE, Wst 1.4401/1.4404 to EN 10216-5</t>
  </si>
  <si>
    <t>3"</t>
  </si>
  <si>
    <t>4" x WT=2.9mm 45  Deg. Elbow 3D, EN 10253-4, BE, Wst 1.4401/1.4404 to EN 10216-5</t>
  </si>
  <si>
    <t>4"</t>
  </si>
  <si>
    <t>Wst 1.4401/1.4404（符合 EN 10216-5 标准）</t>
  </si>
  <si>
    <t>弯曲半径 3D；连接形式 BE（对焊端）</t>
  </si>
  <si>
    <t>6" x WT=3.2mm 45  Deg. Elbow 3D, EN 10253-4, BE, Wst 1.4401/1.4404 to EN 10216-5</t>
  </si>
  <si>
    <t>6"</t>
  </si>
  <si>
    <t>3.2mm</t>
  </si>
  <si>
    <t>8" x WT=3.6mm 45  Deg. Elbow 3D, EN 10253-4, BE, Wst 1.4401/1.4404 to EN 10216-5</t>
  </si>
  <si>
    <t>8"</t>
  </si>
  <si>
    <t>3.6mm</t>
  </si>
  <si>
    <t>0.75" x WT=3.2mm 45  Deg. Elbow 5D, EN 10253-4, BE, Wst 1.4401/1.4404 to EN 10216-5</t>
  </si>
  <si>
    <t>0.75"</t>
  </si>
  <si>
    <t>弯曲半径 5D；连接形式 BE（对焊端）</t>
  </si>
  <si>
    <t>1" x WT=3.2mm 45  Deg. Elbow 5D, EN 10253-4, BE, Wst 1.4401/1.4404 to EN 10216-5</t>
  </si>
  <si>
    <t>1"</t>
  </si>
  <si>
    <t>1.5" x WT=2.6mm 90  Deg. Elbow 3D, EN 10253-4, BE, Wst 1.4401/1.4404 to EN 10216-5</t>
  </si>
  <si>
    <t>1.5"</t>
  </si>
  <si>
    <t>2.6mm</t>
  </si>
  <si>
    <t>0.5" x WT=3.2mm 90  Deg. Elbow 3D, EN 10253-4, BE, Wst 1.4401/1.4404 to EN 10216-5</t>
  </si>
  <si>
    <t>0.5"</t>
  </si>
  <si>
    <t>10" x WT=4.0mm 90  Deg. Elbow 3D, EN 10253-4, BE, Wst 1.4401/1.4404 to EN 10216-5</t>
  </si>
  <si>
    <t>10"</t>
  </si>
  <si>
    <t>4.0mm</t>
  </si>
  <si>
    <t>1条缝</t>
  </si>
  <si>
    <t>12" x WT=4.5mm 90  Deg. Elbow 3D, EN 10253-4, BE, Wst 1.4401/1.4404 to EN 10216-5</t>
  </si>
  <si>
    <t>2" x WT=2.9mm 90  Deg. Elbow 3D, EN 10253-4, BE, Wst 1.4401/1.4404 to EN 10216-5</t>
  </si>
  <si>
    <t>3" x WT=2.9mm 90  Deg. Elbow 3D, EN 10253-4, BE, Wst 1.4401/1.4404 to EN 10216-5</t>
  </si>
  <si>
    <t>4" x WT=2.9mm 90  Deg. Elbow 3D, EN 10253-4, BE, Wst 1.4401/1.4404 to EN 10216-5</t>
  </si>
  <si>
    <t>6" x WT=3.2mm 90  Deg. Elbow 3D, EN 10253-4, BE, Wst 1.4401/1.4404 to EN 10216-5</t>
  </si>
  <si>
    <t>8" x WT=3.6mm 90  Deg. Elbow 3D, EN 10253-4, BE, Wst 1.4401/1.4404 to EN 10216-5</t>
  </si>
  <si>
    <t>0.5" x WT=3.2mm 90  Deg. Elbow 5D, EN 10253-4, BE, Wst 1.4401/1.4404 to EN 10216-5</t>
  </si>
  <si>
    <t>0.75" x WT=3.2mm 90  Deg. Elbow 5D, EN 10253-4, BE, Wst 1.4401/1.4404 to EN 10216-5</t>
  </si>
  <si>
    <t>1" x WT=3.2mm 90  Deg. Elbow 5D, EN 10253-4, BE, Wst 1.4401/1.4404 to EN 10216-5</t>
  </si>
  <si>
    <t>1.5" x WT=2.6mm 90  Deg. Elbow 5D, EN 10253-4, BE, Wst 1.4401/1.4404 to EN 10216-5</t>
  </si>
  <si>
    <t>1.5" Blind Flg., EN 1092-1, PN40, RFFE, Wst 1.4401/1.4404 to EN 10222-5</t>
  </si>
  <si>
    <t>盲板法兰（Blind Flange）</t>
  </si>
  <si>
    <t>PN40（4.0MPa）</t>
  </si>
  <si>
    <t>Wst 1.4401/1.4404（符合 EN 10222-5 标准）</t>
  </si>
  <si>
    <t>密封面形式 RFFE（凸面全平面）</t>
  </si>
  <si>
    <t>12" Blind Flg., Manf. Std. to EN 1092-1, PN16, RFFE, Wst 1.4401/1.4404 to EN 10222-5</t>
  </si>
  <si>
    <t>PN16（1.6MPa）</t>
  </si>
  <si>
    <t>制造商标准（符合 EN 1092-1）、EN 10222-5</t>
  </si>
  <si>
    <t>2" Blind Flg., Manf. Std. to EN 1092-1, PN16, RFFE, Wst 1.4401/1.4404 to EN 10222-5</t>
  </si>
  <si>
    <t>1.5" x 0.75" x WT=2.6mm x WT=3.2mm Con. Reducer, EN 10253-4, BE, Wst 1.4401/1.4404 to EN 10216-5</t>
  </si>
  <si>
    <t>同心异径管（Con. Reducer）</t>
  </si>
  <si>
    <t>1.5"×0.75"</t>
  </si>
  <si>
    <t>2.6mm×3.2mm</t>
  </si>
  <si>
    <t>连接形式 BE（对焊端）；前为大端尺寸，后为小端尺寸</t>
  </si>
  <si>
    <t>2" x 1.5" x WT=2.9mm x WT=2.6mm Con. Reducer, EN 10253-4, BE, Wst 1.4401/1.4404 to EN 10216-5</t>
  </si>
  <si>
    <t>2"×1.5"</t>
  </si>
  <si>
    <t>2.9mm×2.6mm</t>
  </si>
  <si>
    <t>4" x 2" x WT=2.9mm x WT=2.9mm Con. Reducer, EN 10253-4, BE, Wst 1.4401/1.4404 to EN 10216-5</t>
  </si>
  <si>
    <t>4"×2"</t>
  </si>
  <si>
    <t>2.9mm×2.9mm</t>
  </si>
  <si>
    <t>0.75" x 0.5" x WT=3.2mm x WT=3.2mm Con. Reducer, EN 10253-4, BE, Wst 1.4401/1.4404 to EN 10216-5</t>
  </si>
  <si>
    <t>0.75"×0.5"</t>
  </si>
  <si>
    <t>3.2mm×3.2mm</t>
  </si>
  <si>
    <t>8" x 5" x WT=3.6mm x WT=3.2mm Con. Reducer, EN 10253-4, BE, Wst 1.4401/1.4404 to EN 10216-5</t>
  </si>
  <si>
    <t>8"×5"</t>
  </si>
  <si>
    <t>3.6mm×3.2mm</t>
  </si>
  <si>
    <t>连接形式 BE（对焊端）；“×” 前后分别为大端、小端尺寸</t>
  </si>
  <si>
    <t>8" x 6" x WT=3.6mm x WT=3.2mm Con. Reducer, EN 10253-4, BE, Wst 1.4401/1.4404 to EN 10216-5</t>
  </si>
  <si>
    <t>8"×6"</t>
  </si>
  <si>
    <t>1" x 0.75" x WT=3.2mm x WT=3.2mm Ecc. Reducer, EN 10253-4, BE, Wst 1.4401/1.4404 to EN 10216-5</t>
  </si>
  <si>
    <t>偏心异径管（Ecc. Reducer）</t>
  </si>
  <si>
    <t>1"×0.75"</t>
  </si>
  <si>
    <t>0.75" x 0.5" x WT=3.2mm x WT=3.2mm Ecc. Reducer, EN 10253-4, BE, Wst 1.4401/1.4404 to EN 10216-5</t>
  </si>
  <si>
    <t>1" x 0.5" x WT=3.2mm x WT=3.2mm Ecc. Reducer, EN 10253-4, BE, Wst 1.4401/1.4404 to EN 10216-5</t>
  </si>
  <si>
    <t>1"×0.5"</t>
  </si>
  <si>
    <t>1.5" x 0.75" x WT=2.6mm x WT=3.2mm Ecc. Reducer, EN 10253-4, BE, Wst 1.4401/1.4404 to EN 10216-5</t>
  </si>
  <si>
    <t>2" x 1.5" x WT=2.9mm x WT=2.6mm Ecc. Reducer, EN 10253-4, BE, Wst 1.4401/1.4404 to EN 10216-5</t>
  </si>
  <si>
    <t>12" x 6" x WT=4.5mm x WT=3.2mm Ecc. Reducer, EN 10253-4, BE, Wst 1.4401/1.4404 to EN 10216-5</t>
  </si>
  <si>
    <t>12"×6"</t>
  </si>
  <si>
    <t>4.5mm×3.2mm</t>
  </si>
  <si>
    <t>12" x 8" x WT=4.5mm x WT=3.6mm Ecc. Reducer, EN 10253-4, BE, Wst 1.4401/1.4404 to EN 10216-5</t>
  </si>
  <si>
    <t>12"×8"</t>
  </si>
  <si>
    <t>4.5mm×3.6mm</t>
  </si>
  <si>
    <t>2" x 1" x WT=2.9mm x WT=3.2mm Ecc. Reducer, EN 10253-4, BE, Wst 1.4401/1.4404 to EN 10216-5</t>
  </si>
  <si>
    <t>2"×1"</t>
  </si>
  <si>
    <t>2.9mm×3.2mm</t>
  </si>
  <si>
    <t>4" x 2" x WT=2.9mm x WT=2.9mm Ecc. Reducer, EN 10253-4, BE, Wst 1.4401/1.4404 to EN 10216-5</t>
  </si>
  <si>
    <t>4" x 3" x WT=2.9mm x WT=2.9mm Ecc. Reducer, EN 10253-4, BE, Wst 1.4401/1.4404 to EN 10216-5</t>
  </si>
  <si>
    <t>4"×3"</t>
  </si>
  <si>
    <t>0.75" x WT=3.2mm Eq. Tee, EN 10253-4, BE, Wst 1.4401/1.4404 to EN 10216-5</t>
  </si>
  <si>
    <t>连接形式 BE（对焊端）；主管与支管尺寸一致</t>
  </si>
  <si>
    <t>12" x WT=4.5mm Eq. Tee, EN 10253-4, BE, Wst 1.4401/1.4404 to EN 10216-5</t>
  </si>
  <si>
    <t>2" x WT=2.9mm Eq. Tee, EN 10253-4, BE, Wst 1.4401/1.4404 to EN 10216-5</t>
  </si>
  <si>
    <t>3" x WT=2.9mm Eq. Tee, EN 10253-4, BE, Wst 1.4401/1.4404 to EN 10216-5</t>
  </si>
  <si>
    <t>4" x WT=2.9mm Eq. Tee, EN 10253-4, BE, Wst 1.4401/1.4404 to EN 10216-5</t>
  </si>
  <si>
    <t>6" x WT=3.2mm Eq. Tee, EN 10253-4, BE, Wst 1.4401/1.4404 to EN 10216-5</t>
  </si>
  <si>
    <t>8" x WT=3.6mm Eq. Tee, EN 10253-4, BE, Wst 1.4401/1.4404 to EN 10216-5</t>
  </si>
  <si>
    <t>12" x 6" x WT=4.5mm x WT=3.2mm Red. Tee, EN 10253-4, BE, Wst 1.4401/1.4404 to EN 10216-5</t>
  </si>
  <si>
    <t>异径三通（Red. Tee）</t>
  </si>
  <si>
    <t>连接形式 BE（对焊端）；“×” 前后分别为主管、支管尺寸，壁厚对应一致</t>
  </si>
  <si>
    <t>2" x 1" x WT=2.9mm x WT=3.2mm Red. Tee, EN 10253-4, BE, Wst 1.4401/1.4404 to EN 10216-5</t>
  </si>
  <si>
    <t>2" x 1.5" x WT=2.9mm x WT=2.6mm Red. Tee, EN 10253-4, BE, Wst 1.4401/1.4404 to EN 10216-5</t>
  </si>
  <si>
    <t>3" x 2" x WT=2.9mm x WT=2.9mm Red. Tee, EN 10253-4, BE, Wst 1.4401/1.4404 to EN 10216-5</t>
  </si>
  <si>
    <t>3"×2"</t>
  </si>
  <si>
    <t>4" x 2" x WT=2.9mm x WT=2.9mm Red. Tee, EN 10253-4, BE, Wst 1.4401/1.4404 to EN 10216-5</t>
  </si>
  <si>
    <t>4" x 3" x WT=2.9mm x WT=2.9mm Red. Tee, EN 10253-4, BE, Wst 1.4401/1.4404 to EN 10216-5</t>
  </si>
  <si>
    <t>8" x 4" x WT=3.6mm x WT=2.9mm Red. Tee, EN 10253-4, BE, Wst 1.4401/1.4404 to EN 10216-5</t>
  </si>
  <si>
    <t>8"×4"</t>
  </si>
  <si>
    <t>3.6mm×2.9mm</t>
  </si>
  <si>
    <t>2" x 0.5" Red. Thd. Flg., Manf. Std. to EN 1092-1, PN16, RF x FTE (NPTF), Wst 1.4401/1.4404 to EN 10222-5</t>
  </si>
  <si>
    <t>异径螺纹法兰（Red. Thd. Flg.）</t>
  </si>
  <si>
    <t>2"×0.5"</t>
  </si>
  <si>
    <t>连接形式 RF（凸面）×FTE（内螺纹端）；螺纹类型 NPTF（干密封锥管螺纹）；“×” 前后分别为法兰端、螺纹端尺寸</t>
  </si>
  <si>
    <t>0.5" Plug Hex Head, ISO 4144, MTE (NPTF), Wst 1.4401/1.4404 to EN 10222-5</t>
  </si>
  <si>
    <t>六角头堵头（Plug Hex Head）</t>
  </si>
  <si>
    <t>ISO 4144、EN 10222-5</t>
  </si>
  <si>
    <t>连接形式 MTE（外螺纹端）；螺纹类型 NPTF（干密封锥管螺纹）</t>
  </si>
  <si>
    <t xml:space="preserve">3.1证书   </t>
  </si>
  <si>
    <t>12" x WT=4.5mm WN Flg., EN 1092-1, PN16, RFFE, Wst 1.4401/1.4404 to EN 10222-5</t>
  </si>
  <si>
    <t>密封面形式 RFFE（凸面全平面）；对焊连接结构</t>
  </si>
  <si>
    <t>2" x WT=2.9mm WN Flg., EN 1092-1, PN16, RFFE, Wst 1.4401/1.4404 to EN 10222-5</t>
  </si>
  <si>
    <t>3" x WT=2.9mm WN Flg., EN 1092-1, PN16, RFFE, Wst 1.4401/1.4404 to EN 10222-5</t>
  </si>
  <si>
    <t>4" x WT=2.9mm WN Flg., EN 1092-1, PN16, RFFE, Wst 1.4401/1.4404 to EN 10222-5</t>
  </si>
  <si>
    <t>5" x WT=3.2mm WN Flg., EN 1092-1, PN16, RFFE, Wst 1.4401/1.4404 to EN 10222-5</t>
  </si>
  <si>
    <t>5"</t>
  </si>
  <si>
    <t>6" x WT=3.2mm WN Flg., EN 1092-1, PN16, RFFE, Wst 1.4401/1.4404 to EN 10222-5</t>
  </si>
  <si>
    <t>8" x WT=3.6mm WN Flg., EN 1092-1, PN16, RFFE, Wst 1.4401/1.4404 to EN 10222-5</t>
  </si>
  <si>
    <t>0.5" x WT=3.2mm WN Flg., EN 1092-1, PN40, RFFE, Wst 1.4401/1.4404 to EN 10222-5</t>
  </si>
  <si>
    <t>0.75" x WT=3.2mm WN Flg., EN 1092-1, PN40, RFFE, Wst 1.4401/1.4404 to EN 10222-5</t>
  </si>
  <si>
    <t>1" x WT=3.2mm 45  Deg. Elbow 3D, EN 10253-4, BE, Wst 1.4401/1.4404 to EN 10216-5</t>
  </si>
  <si>
    <t>1.5" x WT=2.6mm 45  Deg. Elbow 3D, EN 10253-4, BE, Wst 1.4401/1.4404 to EN 10216-5</t>
  </si>
  <si>
    <t>10" x WT=4.0mm 45  Deg. Elbow 3D, EN 10253-4, BE, Wst 1.4401/1.4404 to EN 10216-5</t>
  </si>
  <si>
    <t>1.5" x WT=2.6mm 45  Deg. Elbow 5D, EN 10253-4, BE, Wst 1.4401/1.4404 to EN 10216-5</t>
  </si>
  <si>
    <t>1" x WT=3.2mm 90  Deg. Elbow 3D, EN 10253-4, BE, Wst 1.4401/1.4404 to EN 10216-5</t>
  </si>
  <si>
    <t>3" Blind Flg., Manf. Std. to EN 1092-1, PN16, RFFE, Wst 1.4401/1.4404 to EN 10222-5</t>
  </si>
  <si>
    <t>4" Blind Flg., Manf. Std. to EN 1092-1, PN16, RFFE, Wst 1.4401/1.4404 to EN 10222-5</t>
  </si>
  <si>
    <t>6" Blind Flg., Manf. Std. to EN 1092-1, PN16, RFFE, Wst 1.4401/1.4404 to EN 10222-5</t>
  </si>
  <si>
    <t>8" Blind Flg., Manf. Std. to EN 1092-1, PN16, RFFE, Wst 1.4401/1.4404 to EN 10222-5</t>
  </si>
  <si>
    <t>1" x 0.75" x WT=3.2mm x WT=3.2mm Con. Reducer, EN 10253-4, BE, Wst 1.4401/1.4404 to EN 10216-5</t>
  </si>
  <si>
    <t>10" x 6" x WT=4.0mm x WT=3.2mm Con. Reducer, EN 10253-4, BE, Wst 1.4401/1.4404 to EN 10216-5</t>
  </si>
  <si>
    <t>10"×6"</t>
  </si>
  <si>
    <t>4.0mm×3.2mm</t>
  </si>
  <si>
    <t>2" x 1" x WT=2.9mm x WT=3.2mm Con. Reducer, EN 10253-4, BE, Wst 1.4401/1.4404 to EN 10216-5</t>
  </si>
  <si>
    <t>3" x 1.5" x WT=2.9mm x WT=2.6mm Con. Reducer, EN 10253-4, BE, Wst 1.4401/1.4404 to EN 10216-5</t>
  </si>
  <si>
    <t>3"×1.5"</t>
  </si>
  <si>
    <t>3" x 2" x WT=2.9mm x WT=2.9mm Con. Reducer, EN 10253-4, BE, Wst 1.4401/1.4404 to EN 10216-5</t>
  </si>
  <si>
    <t>4" x 3" x WT=2.9mm x WT=2.9mm Con. Reducer, EN 10253-4, BE, Wst 1.4401/1.4404 to EN 10216-5</t>
  </si>
  <si>
    <t>6" x 3" x WT=3.2mm x WT=2.9mm Con. Reducer, EN 10253-4, BE, Wst 1.4401/1.4404 to EN 10216-5</t>
  </si>
  <si>
    <t>6"×3"</t>
  </si>
  <si>
    <t>3.2mm×2.9mm</t>
  </si>
  <si>
    <t>8" x 4" x WT=3.6mm x WT=2.9mm Con. Reducer, EN 10253-4, BE, Wst 1.4401/1.4404 to EN 10216-5</t>
  </si>
  <si>
    <t>1.5" x 1" x WT=2.6mm x WT=3.2mm Ecc. Reducer, EN 10253-4, BE, Wst 1.4401/1.4404 to EN 10216-5</t>
  </si>
  <si>
    <t>1.5"×1"</t>
  </si>
  <si>
    <t>10" x 6" x WT=4.0mm x WT=3.2mm Ecc. Reducer, EN 10253-4, BE, Wst 1.4401/1.4404 to EN 10216-5</t>
  </si>
  <si>
    <t>10" x 8" x WT=4.0mm x WT=3.6mm Ecc. Reducer, EN 10253-4, BE, Wst 1.4401/1.4404 to EN 10216-5</t>
  </si>
  <si>
    <t>10"×8"</t>
  </si>
  <si>
    <t>4.0mm×3.6mm</t>
  </si>
  <si>
    <t>3" x 2" x WT=2.9mm x WT=2.9mm Ecc. Reducer, EN 10253-4, BE, Wst 1.4401/1.4404 to EN 10216-5</t>
  </si>
  <si>
    <t>6" x 4" x WT=3.2mm x WT=2.9mm Ecc. Reducer, EN 10253-4, BE, Wst 1.4401/1.4404 to EN 10216-5</t>
  </si>
  <si>
    <t>6"×4"</t>
  </si>
  <si>
    <t>8" x 6" x WT=3.6mm x WT=3.2mm Ecc. Reducer, EN 10253-4, BE, Wst 1.4401/1.4404 to EN 10216-5</t>
  </si>
  <si>
    <t>14" x 10" x WT=5.0mm x WT=4.0mm Ecc. Reducer, EN 10253-4, BE, Wst 1.4401/1.4404 to EN 10217-7</t>
  </si>
  <si>
    <t>14"×10"</t>
  </si>
  <si>
    <t>5.0mm×4.0mm</t>
  </si>
  <si>
    <t>EN 10253-4、EN 10217-7</t>
  </si>
  <si>
    <t>Wst 1.4401/1.4404（符合 EN 10217-7 标准）</t>
  </si>
  <si>
    <t>连接形式 BE（对焊端）；“×” 前后分别为大端、小端尺寸，材质标准为 EN 10217-7（不锈钢焊接管标准）</t>
  </si>
  <si>
    <t>1" x WT=3.2mm Eq. Tee, EN 10253-4, BE, Wst 1.4401/1.4404 to EN 10216-5</t>
  </si>
  <si>
    <t>连接形式 BE（对焊端）；主管与支管尺寸一致，材质标准为 EN 10216-5（不锈钢无缝管标准）</t>
  </si>
  <si>
    <t>1.5" x WT=2.6mm Eq. Tee, EN 10253-4, BE, Wst 1.4401/1.4404 to EN 10216-5</t>
  </si>
  <si>
    <t>10" x WT=4.0mm Eq. Tee, EN 10253-4, BE, Wst 1.4401/1.4404 to EN 10216-5</t>
  </si>
  <si>
    <t>10" x 6" x WT=4.0mm x WT=3.2mm Red. Tee, EN 10253-4, BE, Wst 1.4401/1.4404 to EN 10216-5</t>
  </si>
  <si>
    <t>连接形式 BE（对焊端）；“×” 前后分别为主管、支管尺寸，壁厚与尺寸一一对应</t>
  </si>
  <si>
    <t>10" x 8" x WT=4.0mm x WT=3.6mm Red. Tee, EN 10253-4, BE, Wst 1.4401/1.4404 to EN 10216-5</t>
  </si>
  <si>
    <t>3" x 1.5" x WT=2.9mm x WT=2.6mm Red. Tee, EN 10253-4, BE, Wst 1.4401/1.4404 to EN 10216-5</t>
  </si>
  <si>
    <t>6" x 3" x WT=3.2mm x WT=2.9mm Red. Tee, EN 10253-4, BE, Wst 1.4401/1.4404 to EN 10216-5</t>
  </si>
  <si>
    <t>6" x 4" x WT=3.2mm x WT=2.9mm Red. Tee, EN 10253-4, BE, Wst 1.4401/1.4404 to EN 10216-5</t>
  </si>
  <si>
    <t>8" x 6" x WT=3.6mm x WT=3.2mm Red. Tee, EN 10253-4, BE, Wst 1.4401/1.4404 to EN 10216-5</t>
  </si>
  <si>
    <t>14" x 8" x WT=5.0mm x WT=3.6mm Red. Tee, EN 10253-4, BE, Wst 1.4401/1.4404 to EN 10217-7</t>
  </si>
  <si>
    <t>14"×8"</t>
  </si>
  <si>
    <t>5.0mm×3.6mm</t>
  </si>
  <si>
    <t>连接形式 BE（对焊端）；“×” 前后分别为主管、支管尺寸，材质标准为 EN 10217-7（不锈钢焊接管标准）</t>
  </si>
  <si>
    <t>1" x 0.5" Red. Thd. Flg., Manf. Std. to EN 1092-1, PN40, RF x FTE (NPTF), Wst 1.4401/1.4404 to EN 10222-5</t>
  </si>
  <si>
    <t>1.5" x 0.5" Red. Thd. Flg., Manf. Std. to EN 1092-1, PN40, RF x FTE (NPTF), Wst 1.4401/1.4404 to EN 10222-5</t>
  </si>
  <si>
    <t>1.5"×0.5"</t>
  </si>
  <si>
    <t>10" x WT=4.0mm WN Flg., EN 1092-1, PN16, RFFE, Wst 1.4401/1.4404 to EN 10222-5</t>
  </si>
  <si>
    <t>密封面形式 RFFE（凸面全平面）；对焊连接结构，适配中低压管道系统</t>
  </si>
  <si>
    <t>1" x WT=3.2mm WN Flg., EN 1092-1, PN40, RFFE, Wst 1.4401/1.4404 to EN 10222-5</t>
  </si>
  <si>
    <t>密封面形式 RFFE（凸面全平面）；对焊连接结构，适配中高压管道系统</t>
  </si>
  <si>
    <t>1.5" x WT=2.6mm WN Flg., EN 1092-1, PN40, RFFE, Wst 1.4401/1.4404 to EN 10222-5</t>
  </si>
  <si>
    <t>密封面形式 RFFE（凸面全平面）；对焊连接结构，适配中高压管道</t>
  </si>
  <si>
    <t>0.75" x WT=3.2mm 90  Deg. Elbow 3D, EN 10253-4, BE, Wst 1.4401/1.4404 to EN 10216-5</t>
  </si>
  <si>
    <t>弯曲半径 3D；连接形式 BE（对焊端）；材质为不锈钢 304/304L</t>
  </si>
  <si>
    <t>1" x 0.5" x WT=3.2mm x WT=3.2mm Red. Tee, EN 10253-4, BE, Wst 1.4401/1.4404 to EN 10216-5</t>
  </si>
  <si>
    <t>0.5" x WT=3.2mm 45  Deg. Elbow 5D, EN 10253-4, BE, Wst 1.4401/1.4404 to EN 10216-5</t>
  </si>
  <si>
    <t>弯曲半径 5D（长半径，流阻小）；连接形式 BE（对焊端）</t>
  </si>
  <si>
    <t>1" x 0.5" x WT=3.2mm x WT=3.2mm Con. Reducer, EN 10253-4, BE, Wst 1.4401/1.4404 to EN 10216-5</t>
  </si>
  <si>
    <t>1.5" x 1" x WT=2.6mm x WT=3.2mm Con. Reducer, EN 10253-4, BE, Wst 1.4401/1.4404 to EN 10216-5</t>
  </si>
  <si>
    <t>连接形式 BE（对焊端）；“×” 前后分别为大端、小端尺寸，壁厚与尺寸一一对应</t>
  </si>
  <si>
    <t>0.75" x WT=3.2mm 45  Deg. Elbow 3D, EN 10253-4, BE, Wst 1.4401/1.4404 to EN 10216-5</t>
  </si>
  <si>
    <t>3" x WT=2.9mm Cap, EN 10253-4, BE, Wst 1.4401/1.4404 to EN 10222-5</t>
  </si>
  <si>
    <t>管帽（Cap）</t>
  </si>
  <si>
    <t>EN 10253-4、EN 10222-5</t>
  </si>
  <si>
    <t>连接形式 BE（对焊端）；用于管道端部密封</t>
  </si>
  <si>
    <t>4" x WT=2.9mm Cap, EN 10253-4, BE, Wst 1.4401/1.4404 to EN 10222-5</t>
  </si>
  <si>
    <t>1.5" x 1.25" x WT=2.6mm Reducing Union, ISO 4144, BE x FTE (NPTF), Wst 1.4408 to EN 10213-4</t>
  </si>
  <si>
    <t>异径活接头（Reducing Union）</t>
  </si>
  <si>
    <t>1.5"×1.25"</t>
  </si>
  <si>
    <t>PN20（2.0MPa，按 ISO 4144 默认）</t>
  </si>
  <si>
    <t>ISO 4144、EN 10213-4</t>
  </si>
  <si>
    <t>Wst 1.4408（符合 EN 10213-4 标准）</t>
  </si>
  <si>
    <t>连接形式 BE（对焊端）×FTE（内螺纹端）；螺纹类型 NPTF（干密封锥管螺纹）；“×” 前后分别为对焊端、螺纹端尺寸</t>
  </si>
  <si>
    <t>4" SCH 40S ELBOW 90DEG SR BWE SMLS SS ASTM A403 GR. WP316/316L ASME B16.28 (C/W DUAL GRADE MILL CERT.)</t>
  </si>
  <si>
    <t>SCH 40S</t>
  </si>
  <si>
    <t>ASME B16.28、ASTM A403</t>
  </si>
  <si>
    <t>不锈钢（SS）ASTM A403 GR. WP316/316L</t>
  </si>
  <si>
    <t>弯曲半径 SR（短半径）；连接形式 BWE（对焊端）；制造工艺 SMLS（无缝）；附带双牌号出厂证书（C/W DUAL GRADE MILL CERT.）</t>
  </si>
  <si>
    <t>6" SCH 40S ELBOW 90DEG SR BWE SMLS SS ASTM A403 GR. WP316/316L ASME B16.28 (C/W DUAL GRADE MILL CERT.)</t>
  </si>
  <si>
    <t>1" Blind Flg., EN 1092-1, PN40, RFFE, Wst 1.4401/1.4404 to EN 10222-5</t>
  </si>
  <si>
    <t>密封面形式 RFFE（凸面全平面）；用于管道端部盲封</t>
  </si>
  <si>
    <t>0.5" Nipple Hexagonal, ISO 4144, PN20, TBE (NPTF), Wst 1.4401/1.4404 to EN 10222-5</t>
  </si>
  <si>
    <t>六角接头（Hexagonal Nipple）</t>
  </si>
  <si>
    <t>PN20（2.0MPa）</t>
  </si>
  <si>
    <t>连接形式 TBE（外螺纹端）；螺纹类型 NPTF（干密封锥管螺纹）；六角结构便于安装紧固</t>
  </si>
  <si>
    <t>1.5" Cplg., ISO 4144, FTE (NPTF), Wst 1.4408 to EN 10213-4</t>
  </si>
  <si>
    <t>管箍（Coupling）</t>
  </si>
  <si>
    <t>连接形式 FTE（内螺纹端）；螺纹类型 NPTF（干密封锥管螺纹）；用于管道同径连接</t>
  </si>
  <si>
    <t>做不了标准上面没有外径数据</t>
  </si>
  <si>
    <t>2" Cplg., ISO 4144, FTE (NPTF), Wst 1.4408 to EN 10213-4</t>
  </si>
  <si>
    <t>3" Cplg., ISO 4144, FTE (NPTF), Wst 1.4408 to EN 10213-4</t>
  </si>
  <si>
    <t>2" x 1" Threadolet, MSS SP-97, CL 6000, FTE (NPTF), Wst 1.4401/1.4404 to EN 10222-5</t>
  </si>
  <si>
    <t>螺纹支管台（Threadolet）</t>
  </si>
  <si>
    <t>CL 6000（对应 PN100，约 10.0MPa）</t>
  </si>
  <si>
    <t>MSS SP-97、EN 10222-5</t>
  </si>
  <si>
    <t>连接形式 FTE（内螺纹端）；螺纹类型 NPTF（干密封锥管螺纹）；“×” 前后分别为主管、支管尺寸，适配高压支管连接</t>
  </si>
  <si>
    <t>2" x WT=5.6mm 90  Deg. Elbow 3D, EN 10253-4, BE, Wst 1.4410 to EN 10222-5</t>
  </si>
  <si>
    <t>Wst 1.4410（符合 EN 10222-5 标准）</t>
  </si>
  <si>
    <t>弯曲半径 3D；连接形式 BE（对焊端）；材质为不锈钢 316（1.4410 对应牌号）</t>
  </si>
  <si>
    <t>2" x WT=2.9mm 90  Deg. Elbow 3D, EN 10253-4, BE, Wst 1.4410 to EN 10216-5</t>
  </si>
  <si>
    <t>Wst 1.4410（符合 EN 10216-5 标准）</t>
  </si>
  <si>
    <t>弯曲半径 3D；连接形式 BE（对焊端）；材质标准为 EN 10216-5（不锈钢无缝管标准）</t>
  </si>
  <si>
    <t>4" x WT=2.9mm 90  Deg. Elbow 3D, EN 10253-4, BE, Wst 1.4410 to EN 10216-5</t>
  </si>
  <si>
    <t>2" x WT=2.9mm Eq. Tee, EN 10253-4, BE, Wst 1.4410 to EN 10216-5</t>
  </si>
  <si>
    <t>2" x WT=2.9mm WN Flg., EN 1092-1, PN16, RFFE, Wst 1.4410 to EN 10222-5</t>
  </si>
  <si>
    <t>密封面形式 RFFE（凸面全平面）；对焊连接结构，适配中低压管道</t>
  </si>
  <si>
    <t>4" x WT=2.9mm WN Flg., EN 1092-1, PN16, RFFE, Wst 1.4410 to EN 10222-5</t>
  </si>
  <si>
    <t>12" x WT=4.5mm WN Flg., EN 1092-1, PN16, RFFE, Wst 1.4410 to EN 10222-5</t>
  </si>
  <si>
    <t>密封面形式 RFFE（凸面全平面）；对焊连接结构，大口径适配管道系统</t>
  </si>
  <si>
    <t>3" x WT=2.9mm 45  Deg. Elbow 3D, EN 10253-4, BE, Wst 1.4410 to EN 10216-5</t>
  </si>
  <si>
    <t>4" x WT=2.9mm 45  DEG. Elbow 3D, EN 10253-4, BE, Wst 1.4410 to EN 10216-5</t>
  </si>
  <si>
    <t>6" x WT=3.2mm 45  DEG. Elbow 3D, EN 10253-4, BE, Wst 1.4410 to EN 10216-5</t>
  </si>
  <si>
    <t>8" x WT=3.6mm 45  DEG. Elbow 3D, EN 10253-4, BE, Wst 1.4410 to EN 10216-5</t>
  </si>
  <si>
    <t>3" x WT=2.9mm 90  DEG. Elbow 3D, EN 10253-4, BE, Wst 1.4410 to EN 10216-5</t>
  </si>
  <si>
    <t>6" x WT=3.2mm 90  DEG. Elbow 3D, EN 10253-4, BE, Wst 1.4410 to EN 10216-5</t>
  </si>
  <si>
    <t>8" x WT=3.6mm 90  DEG. Elbow 3D, EN 10253-4, BE, Wst 1.4410 to EN 10216-5</t>
  </si>
  <si>
    <t>10" x WT=4.0mm 90  DEG. Elbow 3D, EN 10253-4, BE, Wst 1.4410 to EN 10217-7</t>
  </si>
  <si>
    <t>Wst 1.4410（符合 EN 10217-7 标准）</t>
  </si>
  <si>
    <t>弯曲半径 3D；连接形式 BE（对焊端）；材质标准为 EN 10217-7（不锈钢焊接管标准）</t>
  </si>
  <si>
    <t>1.5" x WT=2.6mm 90  DEG. Elbow 3D, EN 10253-4, BE, Wst 1.4410 to EN 10222-5</t>
  </si>
  <si>
    <t>弯曲半径 3D；连接形式 BE（对焊端）；材质标准为 EN 10222-5（不锈钢锻件标准）</t>
  </si>
  <si>
    <t>1" x WT=3.2mm 90  DEG. Elbow 5D, EN 10253-4, BE, Wst 1.4410 to EN 10222-5</t>
  </si>
  <si>
    <t>1.5" x WT=2.6mm 90  DEG. Elbow 5D, EN 10253-4, BE, Wst 1.4410 to EN 10222-5</t>
  </si>
  <si>
    <t>1.5" Blind Flg., EN 1092-1, PN40, RFFE, Wst 1.4410 to EN 10028-7</t>
  </si>
  <si>
    <t>EN 1092-1、EN 10028-7</t>
  </si>
  <si>
    <t>Wst 1.4410（符合 EN 10028-7 标准）</t>
  </si>
  <si>
    <t>密封面形式 RFFE（凸面全平面）；材质标准为 EN 10028-7（不锈钢平板标准）</t>
  </si>
  <si>
    <t>10" Blind Flg., Manf. Std. to EN 1092-1, PN16, RFFE, Wst 1.4410 to EN 10028-7</t>
  </si>
  <si>
    <t>制造商标准（符合 EN 1092-1）、EN 10028-7</t>
  </si>
  <si>
    <t>2" Blind Flg., Manf. Std. to EN 1092-1, PN16, RFFE, Wst 1.4410 to EN 10028-7</t>
  </si>
  <si>
    <t>3" Blind Flg., Manf. Std. to EN 1092-1, PN16, RFFE, Wst 1.4410 to EN 10028-7</t>
  </si>
  <si>
    <t>6" Blind Flg., Manf. Std. to EN 1092-1, PN16, RFFE, Wst 1.4410 to EN 10028-7</t>
  </si>
  <si>
    <t>8" Blind Flg., Manf. Std. to EN 1092-1, PN16, RFFE, Wst 1.4410 to EN 10028-7</t>
  </si>
  <si>
    <t>2" x 1.5" x WT=2.9mm x WT=2.6mm Con. Reducer, EN 10253-4, BE, Wst 1.4410 to EN 10216-5</t>
  </si>
  <si>
    <t>3" x 2" x WT=2.9mm x WT=2.9mm Con. Reducer, EN 10253-4, BE, Wst 1.4410 to EN 10216-5</t>
  </si>
  <si>
    <t>3" x 1.5" x WT=2.9mm x WT=2.6mm Con. Reducer, EN 10253-4, BE, Wst 1.4410 to EN 10216-5</t>
  </si>
  <si>
    <t>8" x 4" x WT=3.6mm x WT=2.9mm Con. Reducer, EN 10253-4, BE, Wst 1.4410 to EN 10216-5</t>
  </si>
  <si>
    <t>连接形式 BE（对焊端）；“×” 前后分别为大端、小端尺寸，壁厚与尺寸一一对应；材质为不锈钢 316（1.4410 对应牌号）</t>
  </si>
  <si>
    <t>4" x 3" x WT=2.9mm x WT=2.9mm Ecc. Reducer, EN 10253-4, BE, Wst 1.4410 to EN 10216-5</t>
  </si>
  <si>
    <t>连接形式 BE（对焊端）；“×” 前后分别为大端、小端尺寸；偏心结构适配管道水平安装避免气阻 / 液阻</t>
  </si>
  <si>
    <t>8" x 4" x WT=3.6mm x WT=2.9mm Ecc. Reducer, EN 10253-4, BE, Wst 1.4410 to EN 10216-5</t>
  </si>
  <si>
    <t>3" x WT=2.9mm Eq. Tee, EN 10253-4, BE, Wst 1.4410 to EN 10216-5</t>
  </si>
  <si>
    <t>4" x WT=2.9mm Eq. Tee, EN 10253-4, BE, Wst 1.4410 to EN 10216-5</t>
  </si>
  <si>
    <t>6" x WT=3.2mm Eq. Tee, EN 10253-4, BE, Wst 1.4410 to EN 10216-5</t>
  </si>
  <si>
    <t>8" x WT=3.6mm Eq. Tee, EN 10253-4, BE, Wst 1.4410 to EN 10216-5</t>
  </si>
  <si>
    <t>连接形式 BE（对焊端）；主管与支管尺寸一致；大口径适配大流量管道系统</t>
  </si>
  <si>
    <t>1.5" x WT=2.6mm Eq. Tee, EN 10253-4, BE, Wst 1.4410 to EN 10222-5</t>
  </si>
  <si>
    <t>连接形式 BE（对焊端）；主管与支管尺寸一致；材质标准为 EN 10222-5（不锈钢锻件标准）</t>
  </si>
  <si>
    <t>2" x 1.5" x WT=2.9mm x WT=2.6mm Red. Tee, EN 10253-4, BE, Wst 1.4410 to EN 10216-5</t>
  </si>
  <si>
    <t>3" x 1.5" x WT=2.9mm x WT=2.6mm Red. Tee, EN 10253-4, BE, Wst 1.4410 to EN 10216-5</t>
  </si>
  <si>
    <t>3" x 2" x WT=2.9mm x WT=2.9mm Red. Tee, EN 10253-4, BE, Wst 1.4410 to EN 10216-5</t>
  </si>
  <si>
    <t>连接形式 BE（对焊端）；“×” 前后分别为主管、支管尺寸</t>
  </si>
  <si>
    <t>4" x 2" x WT=2.9mm x WT=2.9mm Red. Tee, EN 10253-4, BE, Wst 1.4410 to EN 10216-5</t>
  </si>
  <si>
    <t>8" x 4" x WT=3.6mm x WT=2.9mm Red. Tee, EN 10253-4, BE, Wst 1.4410 to EN 10216-5</t>
  </si>
  <si>
    <t>8" x 6" x WT=3.6mm x WT=3.2mm Red. Tee, EN 10253-4, BE, Wst 1.4410 to EN 10216-5</t>
  </si>
  <si>
    <t>10" x 6" x WT=4.0mm x WT=3.2mm Red. Tee, EN 10253-4, BE, Wst 1.4410 to EN 10217-7</t>
  </si>
  <si>
    <t>连接形式 BE（对焊端）；“×” 前后分别为主管、支管尺寸，壁厚与尺寸一一对应；材质标准为 EN 10217-7（不锈钢焊接管标准）</t>
  </si>
  <si>
    <t>10" x WT=4.0mm WN Flg., EN 1092-1, PN16, RFFE, Wst 1.4410 to EN 10222-5</t>
  </si>
  <si>
    <t>密封面形式 RFFE（凸面全平面）；对焊连接结构，大口径适配中低压管道系统；材质为不锈钢 316（1.4410 对应牌号）</t>
  </si>
  <si>
    <t>3" x WT=2.9mm WN Flg., EN 1092-1, PN16, RFFE, Wst 1.4410 to EN 10222-5</t>
  </si>
  <si>
    <t>6" x WT=3.2mm WN Flg., EN 1092-1, PN16, RFFE, Wst 1.4410 to EN 10222-5</t>
  </si>
  <si>
    <t>8" x WT=3.6mm WN Flg., EN 1092-1, PN16, RFFE, Wst 1.4410 to EN 10222-5</t>
  </si>
  <si>
    <t>1.5" x WT=2.6mm WN Flg., EN 1092-1, PN40, RFFE, Wst 1.4410 to EN 10222-5</t>
  </si>
  <si>
    <t>3" x 1.5" x WT=2.9mm x WT=2.6mm Ecc. Reducer, EN 10253-4, BE, Wst 1.4410 to EN 10216-5</t>
  </si>
  <si>
    <t>连接形式 BE（对焊端）；“×” 前后分别为大端、小端尺寸，壁厚与尺寸一一对应；偏心结构避免气阻 / 液阻</t>
  </si>
  <si>
    <t>1.5" x WT=2.6mm 45  Deg. Elbow 5D, EN 10253-4, BE, Wst 1.4410 to EN 10222-5</t>
  </si>
  <si>
    <t>弯曲半径 5D（长半径，流阻小）；连接形式 BE（对焊端）；材质标准为 EN 10222-5（不锈钢锻件标准）</t>
  </si>
  <si>
    <t>1" x WT=3.2mm WN Flg., EN 1092-1, PN40, RFFE, Wst 1.4410 to EN 10222-5</t>
  </si>
  <si>
    <t>1.5" x 0.5" Red. Thd. Flg., Manf. Std. to EN 1092-1, PN40, RF x FTE (NPTF), Wst 1.4410 to EN 10222-5</t>
  </si>
  <si>
    <t>3" x WT=2.9mm WN Flg., Manf. Std. to EN 1092-1, PN16, FF, Wst 1.4410 to EN 10222-5</t>
  </si>
  <si>
    <t>密封面形式 FF（全平面）；对焊连接结构，适配低压管道密封需求</t>
  </si>
  <si>
    <t>1.5" x WT=2.6mm WN Flg., Manf. Std. to EN 1092-1, PN40, FF, Wst 1.4410 to EN 10222-5</t>
  </si>
  <si>
    <t>密封面形式 FF（全平面）；对焊连接结构，适配中高压管道密封需求</t>
  </si>
  <si>
    <t xml:space="preserve">3/4" Eq. Tee, EN 10253-4, BE, Wst 1.4401/1.4404 to EN 10216-5, WT=3.2mm </t>
  </si>
  <si>
    <t>连接形式 BE（对焊端）；主管与支管尺寸一致；材质为不锈钢 304/304L（1.4401/1.4404 对应牌号）</t>
  </si>
  <si>
    <t xml:space="preserve">3.1 双材料认证+CE/PED </t>
  </si>
  <si>
    <t xml:space="preserve">1" x 3/4" Con. Reducer, EN 10253-4, BE, Wst 1.4401/1.4404 to EN 10216-5, WT=3.2mm x WT=3.2mm </t>
  </si>
  <si>
    <t>连接形式 BE（对焊端）；“×” 前后分别为大端、小端尺寸；材质为不锈钢 304/304L</t>
  </si>
  <si>
    <t xml:space="preserve">2" x 1" Con. Reducer, EN 10253-4, BE, Wst 1.4401/1.4404 to EN 10216-5, WT=2.9mm x WT=3.2mm </t>
  </si>
  <si>
    <t>连接形式 BE（对焊端）；“×” 前后分别为大端、小端尺寸，壁厚与尺寸一一对应；材质为不锈钢 304/304L</t>
  </si>
  <si>
    <t xml:space="preserve">2" WN Flg., EN 1092-1, PN16, RFFE, Wst 1.4401/1.4404 to EN 10222-5, WT=2.9mm </t>
  </si>
  <si>
    <t>密封面形式 RFFE（凸面全平面）；对焊连接结构；材质为不锈钢 304/304L（1.4401/1.4404 对应牌号）</t>
  </si>
  <si>
    <t xml:space="preserve">3/4" 90  Deg. Elbow 5D, EN 10253-4, BE, Wst 1.4401/1.4404 to EN 10216-5, WT=3.2mm </t>
  </si>
  <si>
    <t>弯曲半径 5D（长半径，流阻小）；连接形式 BE（对焊端）；材质为不锈钢 304/304L</t>
  </si>
  <si>
    <t xml:space="preserve">1" 90  Deg. Elbow 3D, EN 10253-4, BE, Wst 1.4401/1.4404 to EN 10216-5, WT=3.2mm </t>
  </si>
  <si>
    <t>弯曲半径 3D（短半径，空间适配性强）；连接形式 BE（对焊端）</t>
  </si>
  <si>
    <t xml:space="preserve">3" 90  Deg. Elbow 3D, EN 10253-4, BE, Wst 1.4401/1.4404 to EN 10216-5, WT=2.9mm </t>
  </si>
  <si>
    <t xml:space="preserve">2" 90  Deg. Elbow 3D, EN 10253-4, BE, Wst 1.4401/1.4404 to EN 10216-5, WT=2.9mm </t>
  </si>
  <si>
    <t xml:space="preserve">3/4" 45  Deg. Elbow 5D, EN 10253-4, BE, Wst 1.4401/1.4404 to EN 10216-5, WT=3.2mm </t>
  </si>
  <si>
    <t xml:space="preserve">2" x 1" Red. Tee, EN 10253-4, BE, Wst 1.4401/1.4404 to EN 10216-5, WT=2.9mm x WT=3.2mm </t>
  </si>
  <si>
    <t xml:space="preserve">1" Eq. Tee, EN 10253-4, BE, Wst 1.4401/1.4404 to EN 10216-5, WT=3.2mm </t>
  </si>
  <si>
    <t xml:space="preserve">2" Eq. Tee, EN 10253-4, BE, Wst 1.4401/1.4404 to EN 10216-5, WT=2.9mm </t>
  </si>
  <si>
    <t xml:space="preserve">1" Cplg., ISO 4144, FTE (BSPP), Wst 1.4408 to EN 10213-4 </t>
  </si>
  <si>
    <t>连接形式 FTE（内螺纹端）；螺纹类型 BSPP（平行管螺纹，适配欧洲通用螺纹标准）；材质为不锈钢 316L（1.4408 对应牌号）</t>
  </si>
  <si>
    <t xml:space="preserve">3" Cap, EN 10253-4, BE, Wst 1.4401/1.4404 to EN 10222-5, WT=2.9mm </t>
  </si>
  <si>
    <t>连接形式 BE（对焊端）；用于管道端部密封；材质为不锈钢 304/304L</t>
  </si>
  <si>
    <t xml:space="preserve">1" 45  Deg. Elbow 3D, EN 10253-4, BE, Wst 1.4401/1.4404 to EN 10216-5, WT=3.2mm </t>
  </si>
  <si>
    <t xml:space="preserve">3/4" 90  Deg. Elbow 3D, EN 10253-4, BE, Wst 1.4401/1.4404 to EN 10216-5, WT=3.2mm </t>
  </si>
  <si>
    <t xml:space="preserve">1" x 3/4" Red. Tee, EN 10253-4, BE, Wst 1.4401/1.4404 to EN 10216-5, WT=3.2mm x WT=3.2mm </t>
  </si>
  <si>
    <t>3" X 1/2" Red. Thd. Flg., EN 1092-1, PN16, RF x FTE (BSPP), Wst 1.4401/1.4404 to EN 10222-5</t>
  </si>
  <si>
    <t>3"×0.5"</t>
  </si>
  <si>
    <t>连接形式 RF（凸面）×FTE（内螺纹端）；螺纹类型 BSPP（平行管螺纹）；“×” 前后分别为法兰端、螺纹端尺寸；材质为不锈钢 304/304L</t>
  </si>
  <si>
    <t>3/4" x 1/2" Reducing Cplg, ISO 4144, BWE X BSPP SE, Wst 1.4401/1.4404 to EN 10213-4</t>
  </si>
  <si>
    <t>异径管箍（Reducing Cplg）</t>
  </si>
  <si>
    <t>Wst 1.4401/1.4404（符合 EN 10213-4 标准）</t>
  </si>
  <si>
    <t>连接形式 BWE（对焊端）×BSPP SE（外螺纹端）；“×” 前后分别为对焊端、螺纹端尺寸；材质为不锈钢 304/304L</t>
  </si>
  <si>
    <t>2" x 1/2" Red. Thd. Flg., EN 1092-1, PN16, RF x FTE (NPT), Wst 1.4401/1.4404 to EN 10222-5</t>
  </si>
  <si>
    <t>连接形式 RF（凸面）×FTE（内螺纹端）；螺纹类型 NPT（锥管螺纹）；“×” 前后分别为法兰端、螺纹端尺寸</t>
  </si>
  <si>
    <t xml:space="preserve">3/4" Cplg., ISO 4144, FTE (BSPP), Wst 1.4408 to EN 10213-4 </t>
  </si>
  <si>
    <t>连接形式 FTE（内螺纹端）；螺纹类型 BSPP（平行管螺纹）；材质为不锈钢 316L（1.4408 对应牌号）</t>
  </si>
  <si>
    <t xml:space="preserve">1" Plate Flange, EN 1092-1, PN40, RFFE, Wst 1.4401/1.4404 to EN 10222-5 </t>
  </si>
  <si>
    <t>平板法兰（Plate Flange）</t>
  </si>
  <si>
    <t>密封面形式 RFFE（凸面全平面）；平板结构适配低压管道连接</t>
  </si>
  <si>
    <t xml:space="preserve">2" Cap, EN 10253-4, BE, Wst 1.4401/1.4404 to EN 10222-5, WT=2.9mm </t>
  </si>
  <si>
    <t>12mmOD x 1/2" NPT MALE CONNECTOR CJT x NPT SS316 COMPLETE WITH SEAL DOUBLE FERRULE</t>
  </si>
  <si>
    <t>外螺纹接头（Male Connector）</t>
  </si>
  <si>
    <t>12mm×0.5"</t>
  </si>
  <si>
    <t>无明确标准（含双卡套密封）</t>
  </si>
  <si>
    <t>不锈钢 316（SS316）</t>
  </si>
  <si>
    <t>连接形式 CJT（卡套端）×NPT（外螺纹端）；“×” 前后分别为卡套端（12mmOD）、螺纹端尺寸；带双卡套密封，适配高精度密封场景</t>
  </si>
  <si>
    <t>做不了</t>
  </si>
  <si>
    <t xml:space="preserve">2" 45 Deg. Elbow 3D, EN 10253-4, BE, Wst 1.4401/1.4404 to EN 10216-5, WT=2.9mm </t>
  </si>
  <si>
    <t xml:space="preserve">3" 45 Deg. Elbow 3D, EN 10253-4, BE, Wst 1.4401/1.4404 to EN 10216-5, WT=2.9mm </t>
  </si>
  <si>
    <t xml:space="preserve">4" 45 Deg. Elbow 3D, EN 10253-4, BE, Wst 1.4401/1.4404 to EN 10216-5, WT=2.9mm </t>
  </si>
  <si>
    <t xml:space="preserve">3/4" 45 Deg. Elbow 3D, EN 10253-4, BE, Wst 1.4401/1.4404 to EN 10216-5, WT=3.2mm </t>
  </si>
  <si>
    <t xml:space="preserve">1"  45 Deg. Elbow 5D, EN 10253-4, BE, Wst 1.4401/1.4404 to EN 10216-5, WT=3.2mm </t>
  </si>
  <si>
    <t xml:space="preserve">3/4" 45 Deg. Elbow 5D, EN 10253-4, BE, Wst 1.4401/1.4404 to EN 10216-5, WT=3.2mm </t>
  </si>
  <si>
    <t xml:space="preserve">4" 90 Deg. Elbow 3D, EN 10253-4, BE, Wst 1.4401/1.4404 to EN 10216-5, WT=2.9mm </t>
  </si>
  <si>
    <t xml:space="preserve">3" WN Flg., EN 1092-1, PN16, RFFE, Wst 1.4401/1.4404 to EN 10222-5, WT=2.9mm </t>
  </si>
  <si>
    <t xml:space="preserve">3/4" WN Flg., EN 1092-1, PN40, RFFE, Wst 1.4401/1.4404 to EN 10222-5, WT=3.2mm </t>
  </si>
  <si>
    <t xml:space="preserve">1" WN Flg., EN 1092-1, PN40, RFFE, Wst 1.4401/1.4404 to EN 10222-5, WT=3.2mm </t>
  </si>
  <si>
    <t>1/2" PLUG HEX. HEAD TYPE 3000# SS ASTM A182 F316L ASME B16.11 THD END (BSPP)</t>
  </si>
  <si>
    <t>CLASS 3000（约 50.0MPa，按 ASME B16.11）</t>
  </si>
  <si>
    <t>ASME B16.11、ASTM A182</t>
  </si>
  <si>
    <t>不锈钢 ASTM A182 F316L</t>
  </si>
  <si>
    <t>连接形式 THD END（螺纹端）；螺纹类型 BSPP（平行管螺纹）；高压级堵头，适配高压管道端部密封</t>
  </si>
  <si>
    <t xml:space="preserve">3" Eq. Tee, EN 10253-4, BE, Wst 1.4401/1.4404 to EN 10216-5, WT=2.9mm </t>
  </si>
  <si>
    <t>pc</t>
  </si>
  <si>
    <t>弯曲半径 3D；类型 Type B；连接形式 BE（对焊端）</t>
  </si>
  <si>
    <t>类型 Type B；连接形式 BE（对焊端）；主管与支管尺寸一致</t>
  </si>
  <si>
    <t>密封面形式 RFFE（凸面全平面）；对焊连接结构，适配高压管道</t>
  </si>
  <si>
    <t>密封面形式 RFFE（凸面全平面）；适配高压管道端部盲封</t>
  </si>
  <si>
    <t>弯曲半径 3D；连接形式 BE（对焊端）；大口径适配大流量管道系统</t>
  </si>
  <si>
    <t>弯曲半径 3D；连接形式 BE（对焊端）；大口径适配大流量管道，材质为不锈钢 304/304L</t>
  </si>
  <si>
    <t>连接形式 BE（对焊端）；“×” 前后分别为大端、小端尺寸；偏心结构避免气阻 / 液阻</t>
  </si>
  <si>
    <t>连接形式 BE（对焊端）；“×” 前后分别为大端、小端尺寸，壁厚对应；偏心结构避免气阻 / 液阻</t>
  </si>
  <si>
    <t>连接形式 BE（对焊端）；主管与支管尺寸一致，材质为不锈钢 304/304L</t>
  </si>
  <si>
    <t>连接形式 MTE（外螺纹端）；螺纹类型 NPTF（干密封锥管螺纹），用于管道端部封堵</t>
  </si>
  <si>
    <t>连接形式 BE（对焊端）；“×” 前后分别为主管、支管尺寸，壁厚对应</t>
  </si>
  <si>
    <t>连接形式 RF（凸面）×FTE（内螺纹端）；螺纹类型 NPTF；“×” 前后为法兰端、螺纹端尺寸</t>
  </si>
  <si>
    <t>弯曲半径 5D；连接形式 BE（对焊端），长半径适配低流阻场景</t>
  </si>
  <si>
    <t>连接形式 BE（对焊端）；“×” 前后分别为大端、小端尺寸，壁厚对应</t>
  </si>
  <si>
    <t>连接形式 BE（对焊端）×FTE（内螺纹端）；螺纹类型 NPTF；材质为不锈钢 316L（1.4408 对应牌号）</t>
  </si>
  <si>
    <t>不锈钢 ASTM A403 GR. WP316/316L</t>
  </si>
  <si>
    <t>弯曲半径 SR（短半径）；连接形式 BWE（对焊端）；工艺 SMLS（无缝）；附带双牌号出厂证书</t>
  </si>
  <si>
    <t>连接形式 TBE（外螺纹端）；螺纹类型 NPTF；六角结构便于安装紧固</t>
  </si>
  <si>
    <t>连接形式 FTE（内螺纹端）；螺纹类型 NPTF；材质为不锈钢 316L</t>
  </si>
  <si>
    <t>CL 6000（约 10.0MPa）</t>
  </si>
  <si>
    <t>连接形式 FTE（内螺纹端）；螺纹类型 NPTF；“×” 前后分别为主管、支管尺寸，适配高压支管</t>
  </si>
  <si>
    <t>4" x WT=2.9mm 45  Deg. Elbow 3D, EN 10253-4, BE, Wst 1.4410 to EN 10216-5</t>
  </si>
  <si>
    <t>3" x WT=2.9mm 90  Deg. Elbow 3D, EN 10253-4, BE, Wst 1.4410 to EN 10216-5</t>
  </si>
  <si>
    <t>8" x WT=3.6mm 90  Deg. Elbow 3D, EN 10253-4, BE, Wst 1.4410 to EN 10216-5</t>
  </si>
  <si>
    <t>1.5" x WT=2.6mm 90  Deg. Elbow 3D, EN 10253-4, BE, Wst 1.4410 to EN 10222-5</t>
  </si>
  <si>
    <t>连接形式 RF（凸面）×FTE（内螺纹端）；螺纹类型 BSPP；“×” 前后为法兰端、螺纹端尺寸；材质为不锈钢 304/304L</t>
  </si>
  <si>
    <t>连接形式 BWE（对焊端）×BSPP SE（外螺纹端）；“×” 前后为对焊端、螺纹端尺寸</t>
  </si>
  <si>
    <t>连接形式 RF（凸面）×FTE（内螺纹端）；螺纹类型 NPT；“×” 前后为法兰端、螺纹端尺寸</t>
  </si>
  <si>
    <t>连接形式 FTE（内螺纹端）；螺纹类型 BSPP；材质为不锈钢 316L（1.4408 对应牌号）</t>
  </si>
  <si>
    <t>3.2证书+ PED</t>
  </si>
  <si>
    <t>3.1证书+PED</t>
  </si>
  <si>
    <t>密封面形式 RFFE（凸面全平面）；对焊连接结构；大口径适配大流量管道</t>
  </si>
  <si>
    <t>弯曲半径 3D；类型 Type B；连接形式 BE（对焊端）；材质为不锈钢 304/304L</t>
  </si>
  <si>
    <t>3.1 认证+PED</t>
  </si>
  <si>
    <t>连接形式 TBE（外螺纹端）；螺纹类型 NPTF（干密封锥管螺纹）；六角结构便于安装紧固；材质为不锈钢 304/304L</t>
  </si>
  <si>
    <t>连接形式 FTE（内螺纹端）；螺纹类型 NPTF；材质为不锈钢 316L（1.4408 对应牌号）</t>
  </si>
  <si>
    <t>连接形式 FTE（内螺纹端）；螺纹类型 NPTF；“×” 前后分别为主管、支管尺寸；适配高压支管连接</t>
  </si>
  <si>
    <t>密封面形式 RFFE（凸面全平面）；对焊连接结构；材质为不锈钢 304/304L</t>
  </si>
  <si>
    <t>连接形式 RF（凸面）×FTE（内螺纹端）；螺纹类型 BSPP（平行管螺纹）；“×” 前后为法兰端、螺纹端尺寸</t>
  </si>
  <si>
    <t>连接形式 RF（凸面）×FTE（内螺纹端）；螺纹类型 NPT（锥管螺纹）；“×” 前后为法兰端、螺纹端尺寸</t>
  </si>
  <si>
    <t>连接形式 FTE（内螺纹端）；螺纹类型 BSPP；材质为不锈钢 316L</t>
  </si>
  <si>
    <t>连接形式 CJT（卡套端）×NPT（外螺纹端）；“×” 前后为卡套端（12mmOD）、螺纹端尺寸；带双卡套密封，适配高精度密封场景</t>
  </si>
  <si>
    <t>CLASS 3000（约 50.0MPa，按 ASME B16.11 高压螺纹管件标准）</t>
  </si>
  <si>
    <t>不锈钢 ASTM A182 F316L（低碳 316 材质，耐晶间腐蚀性能优于普通 316）</t>
  </si>
  <si>
    <t>连接形式 THD END（螺纹端）；螺纹类型 BSPP（平行管螺纹，适配欧标螺纹系统）；高压级堵头，适用于高压管道端部密封，避免介质泄漏</t>
  </si>
  <si>
    <t>Wst 1.4401/1.4404（符合 EN 10216-5 标准，对应不锈钢 304/304L 牌号）</t>
  </si>
  <si>
    <t>连接形式 BE（对焊端）；主管与支管尺寸一致（均为 3"），需与同规格管道对焊连接；适配中低压流体输送场景，如给排水、普通化工介质传输</t>
  </si>
  <si>
    <t>Cost</t>
  </si>
  <si>
    <t>Port charges+Docs</t>
  </si>
  <si>
    <t>Total</t>
  </si>
  <si>
    <t>含税到港交期50
2025/10/24
李宁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</si>
</sst>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rgb="FF000000"/>
      <name val="Segoe UI"/>
      <charset val="134"/>
    </font>
    <font>
      <sz val="16"/>
      <name val="宋体"/>
      <charset val="134"/>
      <scheme val="minor"/>
    </font>
    <font>
      <b/>
      <sz val="16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2" borderId="4" xfId="0" applyFill="1" applyBorder="1" applyAlignment="1">
      <alignment horizontal="center" vertical="center"/>
    </xf>
    <xf numFmtId="43" fontId="3" fillId="3" borderId="1" xfId="0" applyNumberFormat="1" applyFont="1" applyFill="1" applyBorder="1" applyAlignment="1">
      <alignment horizontal="center" vertical="center"/>
    </xf>
    <xf numFmtId="43" fontId="0" fillId="0" borderId="0" xfId="0" applyNumberFormat="1"/>
    <xf numFmtId="0" fontId="0" fillId="0" borderId="1" xfId="0" applyBorder="1"/>
    <xf numFmtId="43" fontId="0" fillId="0" borderId="1" xfId="0" applyNumberFormat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3" borderId="0" xfId="0" applyFill="1"/>
    <xf numFmtId="176" fontId="8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1" Type="http://schemas.openxmlformats.org/officeDocument/2006/relationships/externalLink" Target="externalLinks/externalLink7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98274\Bk1Inst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99245\245BOQ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98258\materialcom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\epp.agipkco.com\SHEARWTR\MECHANIC\MAINGEN\DATASHT\DS01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98269\269Qt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-server\data2\data\OilGas\OGPA070129\Disciplines\Electrical\Project%20Den%20Helder%20DRF\55000-Project%20list\55300%20Loadlist\Rev1\070129-LS-E5000%20(LOAD%20LIST-DRF)Rev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dc02\projects\BHP%20180279\Electrical\Load%20Schedule\BHPLoadScheduleRev1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I-163\ELECTRICAL\1483B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99240\240BOQ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ARNE\ENG\MEC\ENQUIRY\MC22AVFU\DATA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jfiler6\JI-186\JI-163\ELECTRICAL\1483BA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"/>
      <sheetName val="BP"/>
      <sheetName val="Chart1"/>
      <sheetName val="Dmdsch"/>
      <sheetName val="Consumables"/>
      <sheetName val="Calibration"/>
      <sheetName val="Unit Rate"/>
    </sheetNames>
    <sheetDataSet>
      <sheetData sheetId="0"/>
      <sheetData sheetId="1"/>
      <sheetData sheetId="2" refreshError="1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sic"/>
      <sheetName val="KP1590_E"/>
      <sheetName val="Consumables"/>
      <sheetName val="index"/>
      <sheetName val="Compare"/>
      <sheetName val="COST SUMMARY"/>
      <sheetName val="Histogram"/>
      <sheetName val="Dmdsch"/>
      <sheetName val="Org-chart"/>
      <sheetName val="Indirect"/>
      <sheetName val="Consequip"/>
      <sheetName val="Calibration"/>
      <sheetName val="Bar Chart"/>
      <sheetName val="CSTANLS "/>
      <sheetName val="case"/>
      <sheetName val="Ref.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s"/>
      <sheetName val="Hardware"/>
      <sheetName val="Fire"/>
      <sheetName val="Breather"/>
      <sheetName val="Summar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RONT SHT "/>
      <sheetName val="PCKGE SCPE"/>
      <sheetName val="PCKGE NTS"/>
      <sheetName val="GT DATA SHTS"/>
      <sheetName val="INST SCHEDULE"/>
      <sheetName val="PKGINST"/>
      <sheetName val="GEAR DATA SHT"/>
      <sheetName val="OIL SYST DATA SHTS"/>
      <sheetName val="Electrical Load List"/>
      <sheetName val="Insts"/>
      <sheetName val="LV induction motors"/>
      <sheetName val="Air Cooler-E"/>
      <sheetName val="BQ List"/>
      <sheetName val="FRONT_SHT_"/>
      <sheetName val="FRONT_SHT_1"/>
      <sheetName val="io-summary"/>
      <sheetName val="DS015"/>
      <sheetName val="FRONT_SHT_2"/>
      <sheetName val="4.TANK Farm"/>
      <sheetName val="DSLP"/>
      <sheetName val="MOTOR"/>
      <sheetName val="FIRED HEATER Sh. 1"/>
      <sheetName val="Alternator"/>
      <sheetName val="FRONT_SHT_3"/>
      <sheetName val="PCKGE_SCPE"/>
      <sheetName val="PCKGE_NTS"/>
      <sheetName val="GT_DATA_SHTS"/>
      <sheetName val="INST_SCHEDULE"/>
      <sheetName val="GEAR_DATA_SHT"/>
      <sheetName val="OIL_SYST_DATA_SHTS"/>
      <sheetName val="Electrical_Load_List"/>
      <sheetName val="BQ_List"/>
      <sheetName val="LV_induction_motors"/>
      <sheetName val="Air_Cooler-E"/>
      <sheetName val="FRONT_SHT_4"/>
      <sheetName val="PCKGE_SCPE1"/>
      <sheetName val="PCKGE_NTS1"/>
      <sheetName val="GT_DATA_SHTS1"/>
      <sheetName val="INST_SCHEDULE1"/>
      <sheetName val="GEAR_DATA_SHT1"/>
      <sheetName val="OIL_SYST_DATA_SHTS1"/>
      <sheetName val="Electrical_Load_List1"/>
      <sheetName val="BQ_List1"/>
      <sheetName val="LV_induction_motors1"/>
      <sheetName val="Air_Cooler-E1"/>
      <sheetName val="Data Validation"/>
      <sheetName val="costing_CV"/>
      <sheetName val="FIRED_HEATER_Sh__1"/>
      <sheetName val="Utlity"/>
      <sheetName val="cable"/>
      <sheetName val="CIS"/>
      <sheetName val="7000 L1"/>
      <sheetName val="Request"/>
      <sheetName val="3000"/>
      <sheetName val="6000"/>
      <sheetName val="8000"/>
      <sheetName val="8500"/>
      <sheetName val="Mgmt"/>
      <sheetName val="4000"/>
      <sheetName val="JB LIST"/>
      <sheetName val="JB-Unique_Ref"/>
      <sheetName val="DB Extract_2010_04_21_(all)_Ref"/>
      <sheetName val="DB Extract_2010_04_11_Ref"/>
      <sheetName val="음료실행"/>
      <sheetName val="Detail In Door Stad"/>
      <sheetName val="Intro"/>
      <sheetName val="COVER"/>
      <sheetName val="Page 1"/>
      <sheetName val="LP"/>
      <sheetName val="Data"/>
      <sheetName val="FT-05-02IsoBOM"/>
      <sheetName val="4_TANK_Farm"/>
      <sheetName val="SDRL"/>
      <sheetName val="Sheet1"/>
      <sheetName val="Notes"/>
      <sheetName val="DataValidation"/>
      <sheetName val="Notes &amp; Info"/>
      <sheetName val="App_B1_Unit_rates_lm_sqm"/>
      <sheetName val="Library"/>
      <sheetName val="Codes"/>
      <sheetName val="OIL_SYST_DATA_SHTS2"/>
      <sheetName val="Data_Validation1"/>
      <sheetName val="Notes_&amp;_Info1"/>
      <sheetName val="Data_Validation"/>
      <sheetName val="Notes_&amp;_Info"/>
      <sheetName val="OIL_SYST_DATA_SHTS3"/>
      <sheetName val="PCKGE_SCPE2"/>
      <sheetName val="PCKGE_NTS2"/>
      <sheetName val="GT_DATA_SHTS2"/>
      <sheetName val="INST_SCHEDULE2"/>
      <sheetName val="GEAR_DATA_SHT2"/>
      <sheetName val="Data_Validation2"/>
      <sheetName val="Notes_&amp;_Info2"/>
      <sheetName val="OIL_SYST_DATA_SHTS5"/>
      <sheetName val="PCKGE_SCPE4"/>
      <sheetName val="PCKGE_NTS4"/>
      <sheetName val="GT_DATA_SHTS4"/>
      <sheetName val="INST_SCHEDULE4"/>
      <sheetName val="GEAR_DATA_SHT4"/>
      <sheetName val="Data_Validation4"/>
      <sheetName val="Notes_&amp;_Info4"/>
      <sheetName val="OIL_SYST_DATA_SHTS4"/>
      <sheetName val="PCKGE_SCPE3"/>
      <sheetName val="PCKGE_NTS3"/>
      <sheetName val="GT_DATA_SHTS3"/>
      <sheetName val="INST_SCHEDULE3"/>
      <sheetName val="GEAR_DATA_SHT3"/>
      <sheetName val="Data_Validation3"/>
      <sheetName val="Notes_&amp;_Info3"/>
      <sheetName val="Notes &amp; Information"/>
      <sheetName val="간접비내역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Dmdsch"/>
      <sheetName val="BOQ"/>
      <sheetName val="JB"/>
      <sheetName val="Cable"/>
      <sheetName val="MATAKOF"/>
      <sheetName val="PRICE-COMP"/>
      <sheetName val="COST SUMMARY"/>
      <sheetName val="Fittings"/>
      <sheetName val="Bar Chart"/>
      <sheetName val="IOList"/>
      <sheetName val="Config-1"/>
      <sheetName val="Config-2"/>
      <sheetName val="DCS"/>
      <sheetName val="Calib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ATA INPUT"/>
      <sheetName val="COVER SHEET"/>
      <sheetName val="Total"/>
      <sheetName val="400 V board 1A"/>
      <sheetName val="400 V board 1B"/>
      <sheetName val="400 V board 1C"/>
      <sheetName val="UPS board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OVER_SHT"/>
      <sheetName val="NOTES"/>
      <sheetName val="Data for Access"/>
      <sheetName val="AlphaNumeric1"/>
      <sheetName val="XFRMRS"/>
      <sheetName val="910-EH-03"/>
      <sheetName val="920-EP-31"/>
      <sheetName val="920-EM-31(1)"/>
      <sheetName val="920-EM-31 (2)"/>
      <sheetName val="920-EP-32"/>
      <sheetName val="920-EM-32"/>
      <sheetName val="480-EP-31"/>
      <sheetName val="360-EM-31A"/>
      <sheetName val="360-EM-31B"/>
      <sheetName val="920-EL-31A"/>
      <sheetName val="920-EL-31B"/>
      <sheetName val="920-EL-32A"/>
      <sheetName val="920-EL-32B"/>
      <sheetName val="470-EM-31A"/>
      <sheetName val="470-EM-31B"/>
      <sheetName val="900-EK-31"/>
      <sheetName val="920-ED-32"/>
      <sheetName val="360-ED-31A"/>
      <sheetName val="360-ED-31B"/>
      <sheetName val="470-ED-31A"/>
      <sheetName val="470-ED-31B"/>
      <sheetName val="Internal"/>
      <sheetName val="OIL SYST DATA SHTS"/>
      <sheetName val="Data_for_Access"/>
      <sheetName val="920-EM-31_(2)"/>
      <sheetName val="OIL_SYST_DATA_SHTS"/>
      <sheetName val="Data_for_Access1"/>
      <sheetName val="920-EM-31_(2)1"/>
      <sheetName val="OIL_SYST_DATA_SHTS1"/>
      <sheetName val="Data_for_Access2"/>
      <sheetName val="920-EM-31_(2)2"/>
      <sheetName val="OIL_SYST_DATA_SHTS2"/>
      <sheetName val="51-PSV8008L"/>
      <sheetName val="PRICE-COMP"/>
      <sheetName val="CMTD"/>
      <sheetName val="내역"/>
      <sheetName val="eq_data"/>
      <sheetName val="IO per P&amp;ID "/>
      <sheetName val="PLC"/>
      <sheetName val="Summary"/>
      <sheetName val="ITB COST"/>
      <sheetName val="Data_for_Access3"/>
      <sheetName val="920-EM-31_(2)3"/>
      <sheetName val="OIL_SYST_DATA_SHTS3"/>
      <sheetName val="Calculator Rates"/>
      <sheetName val="Data_for_Access4"/>
      <sheetName val="920-EM-31_(2)4"/>
      <sheetName val="OIL_SYST_DATA_SHTS4"/>
      <sheetName val="Data_for_Access5"/>
      <sheetName val="920-EM-31_(2)5"/>
      <sheetName val="OIL_SYST_DATA_SHTS5"/>
      <sheetName val="IO_ASSIGNMENT"/>
      <sheetName val="DRM_LEN"/>
      <sheetName val="DB Extract For Cables_2010_07_1"/>
      <sheetName val="Cable Details_Master"/>
      <sheetName val="적용환율"/>
      <sheetName val="Page 1 - Front Sheet"/>
      <sheetName val="Cab_Commodity Code."/>
      <sheetName val="From Chennai_2010_01_09"/>
      <sheetName val="Cable Details (Ref)"/>
      <sheetName val="Vsl2"/>
      <sheetName val="PCV-048 &amp; TCV-013"/>
      <sheetName val="Input"/>
      <sheetName val="PumpSpec"/>
      <sheetName val="Sheet1"/>
      <sheetName val="Cover"/>
      <sheetName val="Config"/>
      <sheetName val="산정기준"/>
      <sheetName val=""/>
      <sheetName val="E050"/>
      <sheetName val="IO_per_P&amp;ID_"/>
      <sheetName val="ITB_COST"/>
      <sheetName val="Calculator_Rates"/>
      <sheetName val="Data_for_Access6"/>
      <sheetName val="920-EM-31_(2)6"/>
      <sheetName val="OIL_SYST_DATA_SHTS6"/>
      <sheetName val="DB_Extract_For_Cables_2010_07_1"/>
      <sheetName val="Cable_Details_Master"/>
      <sheetName val="Page_1_-_Front_Sheet"/>
      <sheetName val="Cab_Commodity_Code_"/>
      <sheetName val="From_Chennai_2010_01_09"/>
      <sheetName val="Cable_Details_(Ref)"/>
      <sheetName val="PCV-048_&amp;_TCV-013"/>
      <sheetName val="BHPLoadScheduleRev1A"/>
      <sheetName val="Data_for_Access7"/>
      <sheetName val="920-EM-31_(2)7"/>
      <sheetName val="OIL_SYST_DATA_SHTS7"/>
      <sheetName val="ITB_COST1"/>
      <sheetName val="Calculator_Rates1"/>
      <sheetName val="IO_per_P&amp;ID_1"/>
      <sheetName val="DB_Extract_For_Cables_2010_07_2"/>
      <sheetName val="Cable_Details_Master1"/>
      <sheetName val="Page_1_-_Front_Sheet1"/>
      <sheetName val="Cab_Commodity_Code_1"/>
      <sheetName val="From_Chennai_2010_01_091"/>
      <sheetName val="Cable_Details_(Ref)1"/>
      <sheetName val="PCV-048_&amp;_TCV-0131"/>
      <sheetName val="Settings"/>
      <sheetName val="Lists"/>
      <sheetName val="Sheet3"/>
      <sheetName val="Rekap A"/>
      <sheetName val="costing_CV"/>
      <sheetName val="costing_ESDV"/>
      <sheetName val="costing_FE"/>
      <sheetName val="costing_Misc"/>
      <sheetName val="costing_MOV"/>
      <sheetName val="costing_Press"/>
      <sheetName val="Project Details"/>
      <sheetName val="Load List2"/>
      <sheetName val="CostDB"/>
      <sheetName val="CalcRel"/>
      <sheetName val="FR"/>
      <sheetName val="Price Comparison"/>
      <sheetName val="Alternator"/>
      <sheetName val="LV induction motors"/>
      <sheetName val="SHEET-1"/>
      <sheetName val="Comparison"/>
      <sheetName val="KP1590_E"/>
      <sheetName val="Insts"/>
      <sheetName val="pri-com"/>
      <sheetName val="TWO PASS"/>
      <sheetName val="THREE PASS"/>
      <sheetName val="Codes Master"/>
      <sheetName val="Labour"/>
      <sheetName val="Index"/>
      <sheetName val="I. Material &amp; Eqpt"/>
      <sheetName val="REF.ONLY"/>
      <sheetName val="Notes for BOQ"/>
      <sheetName val="6호기"/>
      <sheetName val="SILICATE"/>
      <sheetName val="EC600"/>
      <sheetName val="Coupling"/>
      <sheetName val="Data_for_Access8"/>
      <sheetName val="920-EM-31_(2)8"/>
      <sheetName val="OIL_SYST_DATA_SHTS8"/>
      <sheetName val="ITB_COST2"/>
      <sheetName val="IO_per_P&amp;ID_2"/>
      <sheetName val="Calculator_Rates2"/>
      <sheetName val="DB_Extract_For_Cables_2010_07_3"/>
      <sheetName val="Cable_Details_Master2"/>
      <sheetName val="Page_1_-_Front_Sheet2"/>
      <sheetName val="Cab_Commodity_Code_2"/>
      <sheetName val="From_Chennai_2010_01_092"/>
      <sheetName val="Cable_Details_(Ref)2"/>
      <sheetName val="PCV-048_&amp;_TCV-0132"/>
      <sheetName val="BOM REV_0"/>
      <sheetName val="Sheet2"/>
      <sheetName val="List"/>
      <sheetName val="BOMGROUP LIST"/>
      <sheetName val="Flanges &amp; Fittings"/>
      <sheetName val="BOQ (11517)"/>
      <sheetName val="Properties"/>
      <sheetName val="Cost Center"/>
      <sheetName val="dhamra"/>
      <sheetName val=" CABLE"/>
      <sheetName val="DF"/>
      <sheetName val="Soarin"/>
      <sheetName val="Revised_2_fc4a"/>
      <sheetName val="920-E塅䕃⹌塅E(2)"/>
      <sheetName val="Datas_ref"/>
      <sheetName val="A1_SCHED_SUMMARY"/>
      <sheetName val="bp"/>
      <sheetName val="Design"/>
      <sheetName val="Client Summary Sheet"/>
      <sheetName val="BOQ"/>
      <sheetName val="Estimation"/>
      <sheetName val="Budget"/>
      <sheetName val="Part1-P+Gs"/>
      <sheetName val="Part 2 - Structural"/>
      <sheetName val="Part 3 - Cladding"/>
      <sheetName val="Part 4 -Mech"/>
      <sheetName val="Part 5 - piping"/>
      <sheetName val="part 7 - chutes-dedusting"/>
      <sheetName val="part 8 - thermal insul."/>
      <sheetName val="Units"/>
      <sheetName val="Evaluation Summary"/>
      <sheetName val="ANNEX-1"/>
      <sheetName val="ANNEX-2"/>
      <sheetName val="Onshore Front Sheet"/>
      <sheetName val="Onshore Invoiced_Accruals"/>
      <sheetName val="Onshore VOWD Value Rolled Up"/>
      <sheetName val="Onshore VOWD Rpt - Summary USD"/>
      <sheetName val="Onshore VOWD-MANHOURS"/>
      <sheetName val="Onshore VOWD Rpt - KZT"/>
      <sheetName val="Onshore VOWD Rpt - USD"/>
      <sheetName val="Onshore VOWD Rpt - GBP"/>
      <sheetName val="Onshore VOWD Rpt - Euro"/>
      <sheetName val="Suppl.RIE Phasing"/>
      <sheetName val="Onshore Variance vs Plan 2019"/>
      <sheetName val="HW July'19"/>
      <sheetName val="TCO 2019 Plan"/>
      <sheetName val="CCT backup"/>
      <sheetName val="KCOI Rossetti back-up"/>
      <sheetName val="WIPRO"/>
      <sheetName val="Suppl.PM-4"/>
      <sheetName val="Vendor Reps Tengiz Backup"/>
      <sheetName val="PAS_HVAC_UPS Suppl."/>
      <sheetName val="Bertling"/>
      <sheetName val="Vendor Reps KCOI Backup"/>
      <sheetName val="Vendor Reps CCT Back-up"/>
      <sheetName val="Notes_for_BOQ"/>
      <sheetName val="Cover Sheet"/>
      <sheetName val="Page 3"/>
      <sheetName val="Page 2"/>
      <sheetName val="Report"/>
      <sheetName val="EST-013"/>
      <sheetName val="Centrifugal pump"/>
      <sheetName val="Pump"/>
      <sheetName val="PREL"/>
      <sheetName val="All Expats-jul cost"/>
      <sheetName val="R30.500"/>
      <sheetName val="T10.0"/>
      <sheetName val="KLHT"/>
      <sheetName val="SpreadRates"/>
      <sheetName val="Quantity"/>
      <sheetName val="Total Material"/>
      <sheetName val="Flanges_&amp;_Fittings"/>
      <sheetName val="BOQ_(11517)"/>
      <sheetName val="Client_Summary_Sheet"/>
      <sheetName val="Rekap_A"/>
      <sheetName val="Project_Details"/>
      <sheetName val="Load_List2"/>
      <sheetName val="Price_Comparison"/>
      <sheetName val="LV_induction_motors"/>
      <sheetName val="TWO_PASS"/>
      <sheetName val="THREE_PASS"/>
      <sheetName val="Codes_Master"/>
      <sheetName val="I__Material_&amp;_Eqpt"/>
      <sheetName val="REF_ONLY"/>
      <sheetName val="Part_2_-_Structural"/>
      <sheetName val="Part_3_-_Cladding"/>
      <sheetName val="Part_4_-Mech"/>
      <sheetName val="Part_5_-_piping"/>
      <sheetName val="part_7_-_chutes-dedusting"/>
      <sheetName val="part_8_-_thermal_insul_"/>
      <sheetName val="DRS_Data"/>
      <sheetName val="LookupData"/>
      <sheetName val="해외 기술훈련비 (합계)"/>
      <sheetName val="List Doc"/>
      <sheetName val="FIRED HEATER Sh. 1"/>
      <sheetName val="BreakDown Lists"/>
      <sheetName val="LIST1"/>
      <sheetName val="Concrete Data"/>
      <sheetName val="BF"/>
      <sheetName val="sheet 1"/>
      <sheetName val="Data_for_Access9"/>
      <sheetName val="920-EM-31_(2)9"/>
      <sheetName val="OIL_SYST_DATA_SHTS9"/>
      <sheetName val="IO_per_P&amp;ID_3"/>
      <sheetName val="ITB_COST3"/>
      <sheetName val="Calculator_Rates3"/>
      <sheetName val="DB_Extract_For_Cables_2010_07_4"/>
      <sheetName val="Cable_Details_Master3"/>
      <sheetName val="Page_1_-_Front_Sheet3"/>
      <sheetName val="Cab_Commodity_Code_3"/>
      <sheetName val="From_Chennai_2010_01_093"/>
      <sheetName val="Cable_Details_(Ref)3"/>
      <sheetName val="PCV-048_&amp;_TCV-0133"/>
      <sheetName val="BOM_REV_0"/>
      <sheetName val="BOMGROUP_LIST"/>
      <sheetName val="Cost_Center"/>
      <sheetName val="_CABLE"/>
      <sheetName val="All_Expats-jul_cost"/>
      <sheetName val="R30_500"/>
      <sheetName val="T10_0"/>
      <sheetName val="Total_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ge 2"/>
      <sheetName val="Alternator"/>
      <sheetName val="BOM"/>
      <sheetName val="IO SUMMARY"/>
      <sheetName val="Electrical Load List"/>
      <sheetName val="Pump"/>
      <sheetName val="C-3204"/>
      <sheetName val="CONST"/>
      <sheetName val="Settings"/>
      <sheetName val="Currencies"/>
      <sheetName val="COVER"/>
      <sheetName val="Project Details"/>
      <sheetName val="PRICE COMP"/>
      <sheetName val="Sheet5"/>
      <sheetName val="AB_F&amp;G"/>
      <sheetName val="Project overview"/>
      <sheetName val="Welcome"/>
      <sheetName val="DRS_Data"/>
      <sheetName val="Lot-2_Pack"/>
      <sheetName val="Pump Seal Changes"/>
      <sheetName val="Units"/>
      <sheetName val="Data"/>
      <sheetName val="OIL SYST DATA SHTS"/>
      <sheetName val="FIRED HEATER Sh. 1"/>
      <sheetName val="JB LIST"/>
      <sheetName val="JB-Unique_Ref"/>
      <sheetName val="BOQ"/>
      <sheetName val="Datasheet"/>
      <sheetName val="JB Uniqe_Total_OLD"/>
      <sheetName val="ASCEandUBC"/>
      <sheetName val="FIRE"/>
      <sheetName val="PumpSpec"/>
      <sheetName val="PRICE-COMP"/>
      <sheetName val="Page 1 - Front Sheet"/>
      <sheetName val="BP"/>
      <sheetName val="piping"/>
      <sheetName val="lookup"/>
      <sheetName val="SECTION-A"/>
      <sheetName val="1483BA"/>
      <sheetName val="Namen"/>
      <sheetName val="BSR"/>
      <sheetName val="KP1590_E"/>
      <sheetName val="Estimation"/>
      <sheetName val="page_2"/>
      <sheetName val="IO_SUMMARY"/>
      <sheetName val="Electrical_Load_List"/>
      <sheetName val="Project_Details"/>
      <sheetName val="PRICE_COMP"/>
      <sheetName val="Project_overview"/>
      <sheetName val="Pump_Seal_Changes"/>
      <sheetName val="OIL_SYST_DATA_SHTS"/>
      <sheetName val="FIRED_HEATER_Sh__1"/>
      <sheetName val="JB_LIST"/>
      <sheetName val="JB_Uniqe_Total_OLD"/>
      <sheetName val="Bldg Costing Sheet"/>
      <sheetName val="WTAC BR UP SUM"/>
      <sheetName val="BOQ (11517)"/>
      <sheetName val="Flanges &amp; Fittings"/>
      <sheetName val="Insts"/>
      <sheetName val="Page2"/>
      <sheetName val="page_21"/>
      <sheetName val="IO_SUMMARY1"/>
      <sheetName val="Electrical_Load_List1"/>
      <sheetName val="Project_Details1"/>
      <sheetName val="PRICE_COMP1"/>
      <sheetName val="Project_overview1"/>
      <sheetName val="Pump_Seal_Changes1"/>
      <sheetName val="OIL_SYST_DATA_SHTS1"/>
      <sheetName val="FIRED_HEATER_Sh__11"/>
      <sheetName val="JB_LIST1"/>
      <sheetName val="JB_Uniqe_Total_OLD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mdsch"/>
      <sheetName val="BOQ"/>
      <sheetName val="Compare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rocess Data"/>
      <sheetName val="Electrical Load List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ge 2"/>
      <sheetName val="Alternator"/>
      <sheetName val="IO SUMMARY"/>
      <sheetName val="Electrical Load List"/>
      <sheetName val="Pump"/>
      <sheetName val="Currencies"/>
      <sheetName val="Settings"/>
      <sheetName val="Project Details"/>
      <sheetName val="PRICE COMP"/>
      <sheetName val="DRS_Data"/>
      <sheetName val="Lot-2_Pack"/>
      <sheetName val="Welcome"/>
      <sheetName val="Pump Seal Changes"/>
      <sheetName val="BOM"/>
      <sheetName val="C-3204"/>
      <sheetName val="Sheet5"/>
      <sheetName val="AB_F&amp;G"/>
      <sheetName val="Project overview"/>
      <sheetName val="Units"/>
      <sheetName val="Data"/>
      <sheetName val="OIL SYST DATA SHTS"/>
      <sheetName val="FIRED HEATER Sh. 1"/>
      <sheetName val="JB LIST"/>
      <sheetName val="JB-Unique_Ref"/>
      <sheetName val="BOQ"/>
      <sheetName val="Datasheet"/>
      <sheetName val="JB Uniqe_Total_OLD"/>
      <sheetName val="COVER"/>
      <sheetName val="CONST"/>
      <sheetName val="ASCEandUBC"/>
      <sheetName val="FIRE"/>
      <sheetName val="piping"/>
      <sheetName val="lookup"/>
      <sheetName val="PumpSpec"/>
      <sheetName val="BP"/>
      <sheetName val="SECTION-A"/>
      <sheetName val="Namen"/>
      <sheetName val="BOQ (11517)"/>
      <sheetName val="Flanges &amp; Fittings"/>
      <sheetName val="page_2"/>
      <sheetName val="IO_SUMMARY"/>
      <sheetName val="Electrical_Load_List"/>
      <sheetName val="Project_Details"/>
      <sheetName val="PRICE_COMP"/>
      <sheetName val="Project_overview"/>
      <sheetName val="Pump_Seal_Changes"/>
      <sheetName val="OIL_SYST_DATA_SHTS"/>
      <sheetName val="FIRED_HEATER_Sh__1"/>
      <sheetName val="JB_LIST"/>
      <sheetName val="JB_Uniqe_Total_OLD"/>
      <sheetName val="page_21"/>
      <sheetName val="IO_SUMMARY1"/>
      <sheetName val="Electrical_Load_List1"/>
      <sheetName val="Project_Details1"/>
      <sheetName val="PRICE_COMP1"/>
      <sheetName val="Project_overview1"/>
      <sheetName val="Pump_Seal_Changes1"/>
      <sheetName val="OIL_SYST_DATA_SHTS1"/>
      <sheetName val="FIRED_HEATER_Sh__11"/>
      <sheetName val="JB_LIST1"/>
      <sheetName val="JB_Uniqe_Total_OLD1"/>
      <sheetName val="PRICE-COMP"/>
      <sheetName val="Page 1 - Front Sheet"/>
      <sheetName val="Insts"/>
      <sheetName val="Page2"/>
      <sheetName val="BOQ_(11517)"/>
      <sheetName val="Flanges_&amp;_Fittings"/>
      <sheetName val="Liability Mgmt"/>
      <sheetName val="Notes for BOQ"/>
      <sheetName val="Total"/>
      <sheetName val="page_22"/>
      <sheetName val="page_23"/>
      <sheetName val="IO_SUMMARY2"/>
      <sheetName val="Electrical_Load_List2"/>
      <sheetName val="Project_overview2"/>
      <sheetName val="Project_Details2"/>
      <sheetName val="PRICE_COMP2"/>
      <sheetName val="Pump_Seal_Changes2"/>
      <sheetName val="OIL_SYST_DATA_SHTS2"/>
      <sheetName val="FIRED_HEATER_Sh__12"/>
      <sheetName val="JB_LIST2"/>
      <sheetName val="JB_Uniqe_Total_OLD2"/>
      <sheetName val="BOQ_(11517)1"/>
      <sheetName val="Flanges_&amp;_Fittings1"/>
      <sheetName val="RING WAL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19"/>
  <sheetViews>
    <sheetView tabSelected="1" zoomScale="55" zoomScaleNormal="55" topLeftCell="K397" workbookViewId="0">
      <selection activeCell="X403" sqref="X403"/>
    </sheetView>
  </sheetViews>
  <sheetFormatPr defaultColWidth="9" defaultRowHeight="20.4"/>
  <cols>
    <col min="1" max="1" width="23.712962962963" hidden="1" customWidth="1"/>
    <col min="2" max="3" width="9.13888888888889" hidden="1" customWidth="1"/>
    <col min="4" max="5" width="9" hidden="1" customWidth="1"/>
    <col min="6" max="6" width="93.7222222222222" customWidth="1"/>
    <col min="7" max="7" width="36.8611111111111" customWidth="1"/>
    <col min="8" max="8" width="14.1111111111111" customWidth="1"/>
    <col min="9" max="9" width="19.9907407407407" customWidth="1"/>
    <col min="10" max="10" width="22.0925925925926" customWidth="1"/>
    <col min="11" max="11" width="26.7962962962963" customWidth="1"/>
    <col min="12" max="13" width="21.6944444444444" customWidth="1"/>
    <col min="14" max="14" width="52.1481481481481" style="1" customWidth="1"/>
    <col min="15" max="16" width="14.25" customWidth="1"/>
    <col min="17" max="17" width="12.4259259259259" customWidth="1"/>
    <col min="18" max="18" width="14.5740740740741" customWidth="1"/>
    <col min="19" max="19" width="10.287037037037" customWidth="1"/>
    <col min="20" max="20" width="12.8518518518519" customWidth="1"/>
    <col min="21" max="21" width="17.8518518518519" customWidth="1"/>
    <col min="22" max="22" width="40.5833333333333" customWidth="1"/>
    <col min="23" max="23" width="18.8148148148148" customWidth="1"/>
    <col min="24" max="24" width="17.4537037037037" customWidth="1"/>
    <col min="25" max="27" width="12.8888888888889"/>
    <col min="29" max="29" width="12.8888888888889"/>
  </cols>
  <sheetData>
    <row r="1" ht="39" customHeight="1" spans="6:19">
      <c r="F1" s="2" t="s">
        <v>0</v>
      </c>
      <c r="R1" s="14"/>
      <c r="S1" s="14"/>
    </row>
    <row r="2" ht="43.95" spans="1:2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11" t="s">
        <v>14</v>
      </c>
      <c r="O2" s="4" t="s">
        <v>4</v>
      </c>
      <c r="P2" s="4" t="s">
        <v>5</v>
      </c>
      <c r="Q2" s="4" t="s">
        <v>15</v>
      </c>
      <c r="R2" s="4" t="s">
        <v>16</v>
      </c>
      <c r="S2" s="4" t="s">
        <v>17</v>
      </c>
      <c r="T2" s="15" t="s">
        <v>18</v>
      </c>
      <c r="U2" s="15" t="s">
        <v>19</v>
      </c>
      <c r="V2" s="16"/>
      <c r="W2" t="s">
        <v>20</v>
      </c>
      <c r="X2" t="s">
        <v>21</v>
      </c>
      <c r="Y2" t="s">
        <v>22</v>
      </c>
      <c r="Z2" t="s">
        <v>23</v>
      </c>
      <c r="AA2" t="s">
        <v>24</v>
      </c>
    </row>
    <row r="3" ht="30" customHeight="1" spans="1:27">
      <c r="A3" s="5">
        <v>75</v>
      </c>
      <c r="B3" s="5" t="s">
        <v>25</v>
      </c>
      <c r="C3" s="5"/>
      <c r="D3" s="5">
        <f t="shared" ref="D3:D4" si="0">A3</f>
        <v>75</v>
      </c>
      <c r="E3" s="5" t="s">
        <v>26</v>
      </c>
      <c r="F3" s="6" t="s">
        <v>27</v>
      </c>
      <c r="G3" s="7" t="s">
        <v>28</v>
      </c>
      <c r="H3" s="8" t="s">
        <v>29</v>
      </c>
      <c r="I3" s="8" t="s">
        <v>30</v>
      </c>
      <c r="J3" s="8"/>
      <c r="K3" s="8" t="s">
        <v>31</v>
      </c>
      <c r="L3" s="8" t="s">
        <v>32</v>
      </c>
      <c r="M3" s="8" t="s">
        <v>33</v>
      </c>
      <c r="N3" s="12" t="s">
        <v>34</v>
      </c>
      <c r="O3" s="5">
        <v>75</v>
      </c>
      <c r="P3" s="5" t="s">
        <v>26</v>
      </c>
      <c r="Q3" s="5" t="s">
        <v>35</v>
      </c>
      <c r="R3" s="17"/>
      <c r="S3" s="17"/>
      <c r="T3" s="18">
        <v>38.1555555555556</v>
      </c>
      <c r="U3" s="18">
        <v>2861.66666666667</v>
      </c>
      <c r="V3" s="16"/>
      <c r="W3">
        <f>T3*1.25</f>
        <v>47.6944444444445</v>
      </c>
      <c r="X3">
        <f>W3*O3</f>
        <v>3577.08333333334</v>
      </c>
      <c r="Y3">
        <f>W3/7.05</f>
        <v>6.7651694247439</v>
      </c>
      <c r="Z3">
        <f>Y3*O3</f>
        <v>507.387706855793</v>
      </c>
      <c r="AA3">
        <f>U3/25000</f>
        <v>0.114466666666667</v>
      </c>
    </row>
    <row r="4" ht="30" customHeight="1" spans="1:27">
      <c r="A4" s="5">
        <v>432</v>
      </c>
      <c r="B4" s="5" t="s">
        <v>25</v>
      </c>
      <c r="C4" s="5"/>
      <c r="D4" s="5">
        <f t="shared" si="0"/>
        <v>432</v>
      </c>
      <c r="E4" s="5" t="s">
        <v>26</v>
      </c>
      <c r="F4" s="6" t="s">
        <v>36</v>
      </c>
      <c r="G4" s="9" t="s">
        <v>37</v>
      </c>
      <c r="H4" s="9" t="s">
        <v>29</v>
      </c>
      <c r="I4" s="9" t="s">
        <v>30</v>
      </c>
      <c r="J4" s="9"/>
      <c r="K4" s="9" t="s">
        <v>31</v>
      </c>
      <c r="L4" s="9" t="s">
        <v>32</v>
      </c>
      <c r="M4" s="9" t="s">
        <v>33</v>
      </c>
      <c r="N4" s="12" t="s">
        <v>34</v>
      </c>
      <c r="O4" s="5">
        <v>432</v>
      </c>
      <c r="P4" s="5" t="s">
        <v>26</v>
      </c>
      <c r="Q4" s="5" t="s">
        <v>35</v>
      </c>
      <c r="R4" s="17"/>
      <c r="S4" s="17"/>
      <c r="T4" s="18">
        <v>63.9666666666667</v>
      </c>
      <c r="U4" s="18">
        <v>27633.6</v>
      </c>
      <c r="V4" s="16"/>
      <c r="W4">
        <f t="shared" ref="W4:W67" si="1">T4*1.25</f>
        <v>79.9583333333334</v>
      </c>
      <c r="X4">
        <f t="shared" ref="X4:X67" si="2">W4*O4</f>
        <v>34542</v>
      </c>
      <c r="Y4">
        <f t="shared" ref="Y4:Y67" si="3">W4/7.05</f>
        <v>11.3416075650118</v>
      </c>
      <c r="Z4">
        <f t="shared" ref="Z4:Z67" si="4">Y4*O4</f>
        <v>4899.57446808511</v>
      </c>
      <c r="AA4">
        <f t="shared" ref="AA4:AA35" si="5">U4/25000</f>
        <v>1.105344</v>
      </c>
    </row>
    <row r="5" ht="30" customHeight="1" spans="1:27">
      <c r="A5" s="5">
        <v>18</v>
      </c>
      <c r="B5" s="10" t="s">
        <v>25</v>
      </c>
      <c r="C5" s="10"/>
      <c r="D5" s="5">
        <f t="shared" ref="D5:D36" si="6">A5</f>
        <v>18</v>
      </c>
      <c r="E5" s="5" t="s">
        <v>26</v>
      </c>
      <c r="F5" s="6" t="s">
        <v>38</v>
      </c>
      <c r="G5" s="9" t="s">
        <v>39</v>
      </c>
      <c r="H5" s="9" t="s">
        <v>29</v>
      </c>
      <c r="I5" s="9" t="s">
        <v>30</v>
      </c>
      <c r="J5" s="9"/>
      <c r="K5" s="9" t="s">
        <v>31</v>
      </c>
      <c r="L5" s="9" t="s">
        <v>32</v>
      </c>
      <c r="M5" s="9" t="s">
        <v>40</v>
      </c>
      <c r="N5" s="12" t="s">
        <v>34</v>
      </c>
      <c r="O5" s="5">
        <v>18</v>
      </c>
      <c r="P5" s="5" t="s">
        <v>26</v>
      </c>
      <c r="Q5" s="5" t="s">
        <v>35</v>
      </c>
      <c r="R5" s="17"/>
      <c r="S5" s="17"/>
      <c r="T5" s="18">
        <v>215.466666666667</v>
      </c>
      <c r="U5" s="18">
        <v>3878.4</v>
      </c>
      <c r="V5" s="16"/>
      <c r="W5">
        <f t="shared" si="1"/>
        <v>269.333333333334</v>
      </c>
      <c r="X5">
        <f t="shared" si="2"/>
        <v>4848.00000000001</v>
      </c>
      <c r="Y5">
        <f t="shared" si="3"/>
        <v>38.2033096926715</v>
      </c>
      <c r="Z5">
        <f t="shared" si="4"/>
        <v>687.659574468086</v>
      </c>
      <c r="AA5">
        <f t="shared" si="5"/>
        <v>0.155136</v>
      </c>
    </row>
    <row r="6" ht="30" customHeight="1" spans="1:27">
      <c r="A6" s="5">
        <v>74</v>
      </c>
      <c r="B6" s="10" t="s">
        <v>25</v>
      </c>
      <c r="C6" s="10"/>
      <c r="D6" s="5">
        <f t="shared" si="6"/>
        <v>74</v>
      </c>
      <c r="E6" s="5" t="s">
        <v>26</v>
      </c>
      <c r="F6" s="6" t="s">
        <v>41</v>
      </c>
      <c r="G6" s="9" t="s">
        <v>42</v>
      </c>
      <c r="H6" s="9" t="s">
        <v>29</v>
      </c>
      <c r="I6" s="9" t="s">
        <v>30</v>
      </c>
      <c r="J6" s="9" t="s">
        <v>43</v>
      </c>
      <c r="K6" s="9" t="s">
        <v>44</v>
      </c>
      <c r="L6" s="9" t="s">
        <v>45</v>
      </c>
      <c r="M6" s="9" t="s">
        <v>46</v>
      </c>
      <c r="N6" s="12" t="s">
        <v>34</v>
      </c>
      <c r="O6" s="5">
        <v>74</v>
      </c>
      <c r="P6" s="5" t="s">
        <v>26</v>
      </c>
      <c r="Q6" s="5" t="s">
        <v>35</v>
      </c>
      <c r="R6" s="17"/>
      <c r="S6" s="17"/>
      <c r="T6" s="18">
        <v>254.52</v>
      </c>
      <c r="U6" s="18">
        <v>18834.48</v>
      </c>
      <c r="V6" s="16"/>
      <c r="W6">
        <f t="shared" si="1"/>
        <v>318.15</v>
      </c>
      <c r="X6">
        <f t="shared" si="2"/>
        <v>23543.1</v>
      </c>
      <c r="Y6">
        <f t="shared" si="3"/>
        <v>45.1276595744681</v>
      </c>
      <c r="Z6">
        <f t="shared" si="4"/>
        <v>3339.44680851064</v>
      </c>
      <c r="AA6">
        <f t="shared" si="5"/>
        <v>0.7533792</v>
      </c>
    </row>
    <row r="7" ht="30" customHeight="1" spans="1:27">
      <c r="A7" s="5">
        <v>46</v>
      </c>
      <c r="B7" s="10" t="s">
        <v>25</v>
      </c>
      <c r="C7" s="10"/>
      <c r="D7" s="5">
        <f t="shared" si="6"/>
        <v>46</v>
      </c>
      <c r="E7" s="5" t="s">
        <v>26</v>
      </c>
      <c r="F7" s="6" t="s">
        <v>47</v>
      </c>
      <c r="G7" s="9" t="s">
        <v>48</v>
      </c>
      <c r="H7" s="9" t="s">
        <v>29</v>
      </c>
      <c r="I7" s="9"/>
      <c r="J7" s="9" t="s">
        <v>43</v>
      </c>
      <c r="K7" s="9" t="s">
        <v>44</v>
      </c>
      <c r="L7" s="9" t="s">
        <v>45</v>
      </c>
      <c r="M7" s="9" t="s">
        <v>46</v>
      </c>
      <c r="N7" s="12" t="s">
        <v>34</v>
      </c>
      <c r="O7" s="5">
        <v>46</v>
      </c>
      <c r="P7" s="5" t="s">
        <v>26</v>
      </c>
      <c r="Q7" s="5" t="s">
        <v>35</v>
      </c>
      <c r="R7" s="17"/>
      <c r="S7" s="17"/>
      <c r="T7" s="18">
        <v>242.4</v>
      </c>
      <c r="U7" s="18">
        <v>11150.4</v>
      </c>
      <c r="V7" s="16"/>
      <c r="W7">
        <f t="shared" si="1"/>
        <v>303</v>
      </c>
      <c r="X7">
        <f t="shared" si="2"/>
        <v>13938</v>
      </c>
      <c r="Y7">
        <f t="shared" si="3"/>
        <v>42.9787234042553</v>
      </c>
      <c r="Z7">
        <f t="shared" si="4"/>
        <v>1977.02127659574</v>
      </c>
      <c r="AA7">
        <f t="shared" si="5"/>
        <v>0.446016</v>
      </c>
    </row>
    <row r="8" ht="30" customHeight="1" spans="1:27">
      <c r="A8" s="5">
        <v>20</v>
      </c>
      <c r="B8" s="5" t="s">
        <v>25</v>
      </c>
      <c r="C8" s="5"/>
      <c r="D8" s="5">
        <f t="shared" si="6"/>
        <v>20</v>
      </c>
      <c r="E8" s="5" t="s">
        <v>26</v>
      </c>
      <c r="F8" s="6" t="s">
        <v>49</v>
      </c>
      <c r="G8" s="9" t="s">
        <v>28</v>
      </c>
      <c r="H8" s="9" t="s">
        <v>50</v>
      </c>
      <c r="I8" s="9" t="s">
        <v>51</v>
      </c>
      <c r="J8" s="9"/>
      <c r="K8" s="9" t="s">
        <v>31</v>
      </c>
      <c r="L8" s="9" t="s">
        <v>32</v>
      </c>
      <c r="M8" s="9" t="s">
        <v>52</v>
      </c>
      <c r="N8" s="13" t="s">
        <v>53</v>
      </c>
      <c r="O8" s="5">
        <v>20</v>
      </c>
      <c r="P8" s="5" t="s">
        <v>26</v>
      </c>
      <c r="Q8" s="5"/>
      <c r="R8" s="17"/>
      <c r="S8" s="17"/>
      <c r="T8" s="18">
        <v>934.811111111111</v>
      </c>
      <c r="U8" s="18">
        <v>18696.2222222222</v>
      </c>
      <c r="V8" s="16"/>
      <c r="W8">
        <f t="shared" si="1"/>
        <v>1168.51388888889</v>
      </c>
      <c r="X8">
        <f t="shared" si="2"/>
        <v>23370.2777777778</v>
      </c>
      <c r="Y8">
        <f t="shared" si="3"/>
        <v>165.746650906225</v>
      </c>
      <c r="Z8">
        <f t="shared" si="4"/>
        <v>3314.93301812451</v>
      </c>
      <c r="AA8">
        <f t="shared" si="5"/>
        <v>0.747848888888888</v>
      </c>
    </row>
    <row r="9" ht="30" customHeight="1" spans="1:27">
      <c r="A9" s="5">
        <v>243</v>
      </c>
      <c r="B9" s="5" t="s">
        <v>25</v>
      </c>
      <c r="C9" s="5"/>
      <c r="D9" s="5">
        <f t="shared" si="6"/>
        <v>243</v>
      </c>
      <c r="E9" s="5" t="s">
        <v>26</v>
      </c>
      <c r="F9" s="6" t="s">
        <v>54</v>
      </c>
      <c r="G9" s="9" t="s">
        <v>28</v>
      </c>
      <c r="H9" s="9" t="s">
        <v>29</v>
      </c>
      <c r="I9" s="9" t="s">
        <v>55</v>
      </c>
      <c r="J9" s="9"/>
      <c r="K9" s="9" t="s">
        <v>31</v>
      </c>
      <c r="L9" s="9" t="s">
        <v>32</v>
      </c>
      <c r="M9" s="9" t="s">
        <v>52</v>
      </c>
      <c r="N9" s="13" t="s">
        <v>53</v>
      </c>
      <c r="O9" s="5">
        <v>243</v>
      </c>
      <c r="P9" s="5" t="s">
        <v>26</v>
      </c>
      <c r="Q9" s="5"/>
      <c r="R9" s="17"/>
      <c r="S9" s="17"/>
      <c r="T9" s="18">
        <v>19.0777777777778</v>
      </c>
      <c r="U9" s="18">
        <v>4635.9</v>
      </c>
      <c r="V9" s="16"/>
      <c r="W9">
        <f t="shared" si="1"/>
        <v>23.8472222222222</v>
      </c>
      <c r="X9">
        <f t="shared" si="2"/>
        <v>5794.87500000001</v>
      </c>
      <c r="Y9">
        <f t="shared" si="3"/>
        <v>3.38258471237195</v>
      </c>
      <c r="Z9">
        <f t="shared" si="4"/>
        <v>821.968085106384</v>
      </c>
      <c r="AA9">
        <f t="shared" si="5"/>
        <v>0.185436</v>
      </c>
    </row>
    <row r="10" ht="30" customHeight="1" spans="1:27">
      <c r="A10" s="5">
        <v>65</v>
      </c>
      <c r="B10" s="5" t="s">
        <v>25</v>
      </c>
      <c r="C10" s="5"/>
      <c r="D10" s="5">
        <f t="shared" si="6"/>
        <v>65</v>
      </c>
      <c r="E10" s="5" t="s">
        <v>26</v>
      </c>
      <c r="F10" s="6" t="s">
        <v>56</v>
      </c>
      <c r="G10" s="9" t="s">
        <v>28</v>
      </c>
      <c r="H10" s="9" t="s">
        <v>57</v>
      </c>
      <c r="I10" s="9" t="s">
        <v>55</v>
      </c>
      <c r="J10" s="9"/>
      <c r="K10" s="9" t="s">
        <v>31</v>
      </c>
      <c r="L10" s="9" t="s">
        <v>32</v>
      </c>
      <c r="M10" s="9" t="s">
        <v>52</v>
      </c>
      <c r="N10" s="13" t="s">
        <v>53</v>
      </c>
      <c r="O10" s="5">
        <v>65</v>
      </c>
      <c r="P10" s="5" t="s">
        <v>26</v>
      </c>
      <c r="Q10" s="5"/>
      <c r="R10" s="17"/>
      <c r="S10" s="17"/>
      <c r="T10" s="18">
        <v>43.7666666666667</v>
      </c>
      <c r="U10" s="18">
        <v>2844.83333333333</v>
      </c>
      <c r="V10" s="16"/>
      <c r="W10">
        <f t="shared" si="1"/>
        <v>54.7083333333334</v>
      </c>
      <c r="X10">
        <f t="shared" si="2"/>
        <v>3556.04166666667</v>
      </c>
      <c r="Y10">
        <f t="shared" si="3"/>
        <v>7.76004728132388</v>
      </c>
      <c r="Z10">
        <f t="shared" si="4"/>
        <v>504.403073286052</v>
      </c>
      <c r="AA10">
        <f t="shared" si="5"/>
        <v>0.113793333333333</v>
      </c>
    </row>
    <row r="11" ht="30" customHeight="1" spans="1:27">
      <c r="A11" s="5">
        <v>124</v>
      </c>
      <c r="B11" s="5" t="s">
        <v>25</v>
      </c>
      <c r="C11" s="5"/>
      <c r="D11" s="5">
        <f t="shared" si="6"/>
        <v>124</v>
      </c>
      <c r="E11" s="5" t="s">
        <v>26</v>
      </c>
      <c r="F11" s="6" t="s">
        <v>58</v>
      </c>
      <c r="G11" s="9" t="s">
        <v>28</v>
      </c>
      <c r="H11" s="9" t="s">
        <v>59</v>
      </c>
      <c r="I11" s="9" t="s">
        <v>55</v>
      </c>
      <c r="J11" s="9"/>
      <c r="K11" s="9" t="s">
        <v>31</v>
      </c>
      <c r="L11" s="9" t="s">
        <v>60</v>
      </c>
      <c r="M11" s="9" t="s">
        <v>61</v>
      </c>
      <c r="N11" s="13" t="s">
        <v>53</v>
      </c>
      <c r="O11" s="5">
        <v>124</v>
      </c>
      <c r="P11" s="5" t="s">
        <v>26</v>
      </c>
      <c r="Q11" s="5"/>
      <c r="R11" s="17"/>
      <c r="S11" s="17"/>
      <c r="T11" s="18">
        <v>70.7</v>
      </c>
      <c r="U11" s="18">
        <v>8766.8</v>
      </c>
      <c r="V11" s="16"/>
      <c r="W11">
        <f t="shared" si="1"/>
        <v>88.375</v>
      </c>
      <c r="X11">
        <f t="shared" si="2"/>
        <v>10958.5</v>
      </c>
      <c r="Y11">
        <f t="shared" si="3"/>
        <v>12.5354609929078</v>
      </c>
      <c r="Z11">
        <f t="shared" si="4"/>
        <v>1554.39716312057</v>
      </c>
      <c r="AA11">
        <f t="shared" si="5"/>
        <v>0.350672</v>
      </c>
    </row>
    <row r="12" ht="30" customHeight="1" spans="1:27">
      <c r="A12" s="5">
        <v>24</v>
      </c>
      <c r="B12" s="5" t="s">
        <v>25</v>
      </c>
      <c r="C12" s="5"/>
      <c r="D12" s="5">
        <f t="shared" si="6"/>
        <v>24</v>
      </c>
      <c r="E12" s="5" t="s">
        <v>26</v>
      </c>
      <c r="F12" s="6" t="s">
        <v>62</v>
      </c>
      <c r="G12" s="9" t="s">
        <v>28</v>
      </c>
      <c r="H12" s="9" t="s">
        <v>63</v>
      </c>
      <c r="I12" s="9" t="s">
        <v>64</v>
      </c>
      <c r="J12" s="9"/>
      <c r="K12" s="9" t="s">
        <v>31</v>
      </c>
      <c r="L12" s="9" t="s">
        <v>60</v>
      </c>
      <c r="M12" s="9" t="s">
        <v>61</v>
      </c>
      <c r="N12" s="13" t="s">
        <v>53</v>
      </c>
      <c r="O12" s="5">
        <v>24</v>
      </c>
      <c r="P12" s="5" t="s">
        <v>26</v>
      </c>
      <c r="Q12" s="5"/>
      <c r="R12" s="17"/>
      <c r="S12" s="17"/>
      <c r="T12" s="18">
        <v>173.944444444444</v>
      </c>
      <c r="U12" s="18">
        <v>4174.66666666667</v>
      </c>
      <c r="V12" s="16"/>
      <c r="W12">
        <f t="shared" si="1"/>
        <v>217.430555555555</v>
      </c>
      <c r="X12">
        <f t="shared" si="2"/>
        <v>5218.33333333332</v>
      </c>
      <c r="Y12">
        <f t="shared" si="3"/>
        <v>30.8412135539794</v>
      </c>
      <c r="Z12">
        <f t="shared" si="4"/>
        <v>740.189125295506</v>
      </c>
      <c r="AA12">
        <f t="shared" si="5"/>
        <v>0.166986666666667</v>
      </c>
    </row>
    <row r="13" ht="30" customHeight="1" spans="1:27">
      <c r="A13" s="5">
        <v>70</v>
      </c>
      <c r="B13" s="5" t="s">
        <v>25</v>
      </c>
      <c r="C13" s="5"/>
      <c r="D13" s="5">
        <f t="shared" si="6"/>
        <v>70</v>
      </c>
      <c r="E13" s="5" t="s">
        <v>26</v>
      </c>
      <c r="F13" s="6" t="s">
        <v>65</v>
      </c>
      <c r="G13" s="9" t="s">
        <v>28</v>
      </c>
      <c r="H13" s="9" t="s">
        <v>66</v>
      </c>
      <c r="I13" s="9" t="s">
        <v>67</v>
      </c>
      <c r="J13" s="9"/>
      <c r="K13" s="9" t="s">
        <v>31</v>
      </c>
      <c r="L13" s="9" t="s">
        <v>60</v>
      </c>
      <c r="M13" s="9" t="s">
        <v>61</v>
      </c>
      <c r="N13" s="13" t="s">
        <v>53</v>
      </c>
      <c r="O13" s="5">
        <v>70</v>
      </c>
      <c r="P13" s="5" t="s">
        <v>26</v>
      </c>
      <c r="Q13" s="5"/>
      <c r="R13" s="17"/>
      <c r="S13" s="17"/>
      <c r="T13" s="18">
        <v>372.577777777778</v>
      </c>
      <c r="U13" s="18">
        <v>26080.4444444444</v>
      </c>
      <c r="V13" s="16"/>
      <c r="W13">
        <f t="shared" si="1"/>
        <v>465.722222222223</v>
      </c>
      <c r="X13">
        <f t="shared" si="2"/>
        <v>32600.5555555556</v>
      </c>
      <c r="Y13">
        <f t="shared" si="3"/>
        <v>66.059889676911</v>
      </c>
      <c r="Z13">
        <f t="shared" si="4"/>
        <v>4624.19227738377</v>
      </c>
      <c r="AA13">
        <f t="shared" si="5"/>
        <v>1.04321777777778</v>
      </c>
    </row>
    <row r="14" ht="30" customHeight="1" spans="1:27">
      <c r="A14" s="5">
        <v>36</v>
      </c>
      <c r="B14" s="5" t="s">
        <v>25</v>
      </c>
      <c r="C14" s="5"/>
      <c r="D14" s="5">
        <f t="shared" si="6"/>
        <v>36</v>
      </c>
      <c r="E14" s="5" t="s">
        <v>26</v>
      </c>
      <c r="F14" s="6" t="s">
        <v>68</v>
      </c>
      <c r="G14" s="9" t="s">
        <v>28</v>
      </c>
      <c r="H14" s="9" t="s">
        <v>69</v>
      </c>
      <c r="I14" s="9" t="s">
        <v>64</v>
      </c>
      <c r="J14" s="9"/>
      <c r="K14" s="9" t="s">
        <v>31</v>
      </c>
      <c r="L14" s="9" t="s">
        <v>60</v>
      </c>
      <c r="M14" s="9" t="s">
        <v>70</v>
      </c>
      <c r="N14" s="13" t="s">
        <v>53</v>
      </c>
      <c r="O14" s="5">
        <v>36</v>
      </c>
      <c r="P14" s="5" t="s">
        <v>26</v>
      </c>
      <c r="Q14" s="5"/>
      <c r="R14" s="17"/>
      <c r="S14" s="17"/>
      <c r="T14" s="18">
        <v>22.4444444444444</v>
      </c>
      <c r="U14" s="18">
        <v>808</v>
      </c>
      <c r="V14" s="16"/>
      <c r="W14">
        <f t="shared" si="1"/>
        <v>28.0555555555555</v>
      </c>
      <c r="X14">
        <f t="shared" si="2"/>
        <v>1010</v>
      </c>
      <c r="Y14">
        <f t="shared" si="3"/>
        <v>3.97951142631993</v>
      </c>
      <c r="Z14">
        <f t="shared" si="4"/>
        <v>143.262411347517</v>
      </c>
      <c r="AA14">
        <f t="shared" si="5"/>
        <v>0.03232</v>
      </c>
    </row>
    <row r="15" ht="30" customHeight="1" spans="1:27">
      <c r="A15" s="5">
        <v>60</v>
      </c>
      <c r="B15" s="5" t="s">
        <v>25</v>
      </c>
      <c r="C15" s="5"/>
      <c r="D15" s="5">
        <f t="shared" si="6"/>
        <v>60</v>
      </c>
      <c r="E15" s="5" t="s">
        <v>26</v>
      </c>
      <c r="F15" s="6" t="s">
        <v>71</v>
      </c>
      <c r="G15" s="9" t="s">
        <v>28</v>
      </c>
      <c r="H15" s="9" t="s">
        <v>72</v>
      </c>
      <c r="I15" s="9" t="s">
        <v>64</v>
      </c>
      <c r="J15" s="9"/>
      <c r="K15" s="9" t="s">
        <v>31</v>
      </c>
      <c r="L15" s="9" t="s">
        <v>60</v>
      </c>
      <c r="M15" s="9" t="s">
        <v>70</v>
      </c>
      <c r="N15" s="13" t="s">
        <v>53</v>
      </c>
      <c r="O15" s="5">
        <v>60</v>
      </c>
      <c r="P15" s="5" t="s">
        <v>26</v>
      </c>
      <c r="Q15" s="5"/>
      <c r="R15" s="17"/>
      <c r="S15" s="17"/>
      <c r="T15" s="18">
        <v>33.6666666666667</v>
      </c>
      <c r="U15" s="18">
        <v>2020</v>
      </c>
      <c r="V15" s="16"/>
      <c r="W15">
        <f t="shared" si="1"/>
        <v>42.0833333333334</v>
      </c>
      <c r="X15">
        <f t="shared" si="2"/>
        <v>2525</v>
      </c>
      <c r="Y15">
        <f t="shared" si="3"/>
        <v>5.96926713947991</v>
      </c>
      <c r="Z15">
        <f t="shared" si="4"/>
        <v>358.156028368795</v>
      </c>
      <c r="AA15">
        <f t="shared" si="5"/>
        <v>0.0808</v>
      </c>
    </row>
    <row r="16" ht="30" customHeight="1" spans="1:27">
      <c r="A16" s="5">
        <v>76</v>
      </c>
      <c r="B16" s="5" t="s">
        <v>25</v>
      </c>
      <c r="C16" s="5"/>
      <c r="D16" s="5">
        <f t="shared" si="6"/>
        <v>76</v>
      </c>
      <c r="E16" s="5" t="s">
        <v>26</v>
      </c>
      <c r="F16" s="6" t="s">
        <v>73</v>
      </c>
      <c r="G16" s="9" t="s">
        <v>37</v>
      </c>
      <c r="H16" s="9" t="s">
        <v>74</v>
      </c>
      <c r="I16" s="9" t="s">
        <v>75</v>
      </c>
      <c r="J16" s="9"/>
      <c r="K16" s="9" t="s">
        <v>31</v>
      </c>
      <c r="L16" s="9" t="s">
        <v>60</v>
      </c>
      <c r="M16" s="9" t="s">
        <v>61</v>
      </c>
      <c r="N16" s="13" t="s">
        <v>53</v>
      </c>
      <c r="O16" s="5">
        <v>76</v>
      </c>
      <c r="P16" s="5" t="s">
        <v>26</v>
      </c>
      <c r="Q16" s="5"/>
      <c r="R16" s="17"/>
      <c r="S16" s="17"/>
      <c r="T16" s="18">
        <v>20.2</v>
      </c>
      <c r="U16" s="18">
        <v>1535.2</v>
      </c>
      <c r="V16" s="16"/>
      <c r="W16">
        <f t="shared" si="1"/>
        <v>25.25</v>
      </c>
      <c r="X16">
        <f t="shared" si="2"/>
        <v>1919</v>
      </c>
      <c r="Y16">
        <f t="shared" si="3"/>
        <v>3.58156028368794</v>
      </c>
      <c r="Z16">
        <f t="shared" si="4"/>
        <v>272.198581560284</v>
      </c>
      <c r="AA16">
        <f t="shared" si="5"/>
        <v>0.061408</v>
      </c>
    </row>
    <row r="17" ht="30" customHeight="1" spans="1:27">
      <c r="A17" s="5">
        <v>2</v>
      </c>
      <c r="B17" s="5" t="s">
        <v>25</v>
      </c>
      <c r="C17" s="5"/>
      <c r="D17" s="5">
        <f t="shared" si="6"/>
        <v>2</v>
      </c>
      <c r="E17" s="5" t="s">
        <v>26</v>
      </c>
      <c r="F17" s="6" t="s">
        <v>76</v>
      </c>
      <c r="G17" s="9" t="s">
        <v>37</v>
      </c>
      <c r="H17" s="9" t="s">
        <v>77</v>
      </c>
      <c r="I17" s="9" t="s">
        <v>64</v>
      </c>
      <c r="J17" s="9"/>
      <c r="K17" s="9" t="s">
        <v>31</v>
      </c>
      <c r="L17" s="9" t="s">
        <v>60</v>
      </c>
      <c r="M17" s="9" t="s">
        <v>61</v>
      </c>
      <c r="N17" s="13" t="s">
        <v>53</v>
      </c>
      <c r="O17" s="5">
        <v>2</v>
      </c>
      <c r="P17" s="5" t="s">
        <v>26</v>
      </c>
      <c r="Q17" s="5"/>
      <c r="R17" s="17"/>
      <c r="S17" s="17"/>
      <c r="T17" s="18">
        <v>11.2222222222222</v>
      </c>
      <c r="U17" s="18">
        <v>22.4444444444444</v>
      </c>
      <c r="V17" s="16"/>
      <c r="W17">
        <f t="shared" si="1"/>
        <v>14.0277777777778</v>
      </c>
      <c r="X17">
        <f t="shared" si="2"/>
        <v>28.0555555555555</v>
      </c>
      <c r="Y17">
        <f t="shared" si="3"/>
        <v>1.98975571315996</v>
      </c>
      <c r="Z17">
        <f t="shared" si="4"/>
        <v>3.97951142631993</v>
      </c>
      <c r="AA17">
        <f t="shared" si="5"/>
        <v>0.000897777777777776</v>
      </c>
    </row>
    <row r="18" ht="30" customHeight="1" spans="1:27">
      <c r="A18" s="5">
        <v>231</v>
      </c>
      <c r="B18" s="5" t="s">
        <v>25</v>
      </c>
      <c r="C18" s="5"/>
      <c r="D18" s="5">
        <f t="shared" si="6"/>
        <v>231</v>
      </c>
      <c r="E18" s="5" t="s">
        <v>26</v>
      </c>
      <c r="F18" s="6" t="s">
        <v>78</v>
      </c>
      <c r="G18" s="9" t="s">
        <v>37</v>
      </c>
      <c r="H18" s="9" t="s">
        <v>79</v>
      </c>
      <c r="I18" s="9" t="s">
        <v>80</v>
      </c>
      <c r="J18" s="9"/>
      <c r="K18" s="9" t="s">
        <v>31</v>
      </c>
      <c r="L18" s="9" t="s">
        <v>60</v>
      </c>
      <c r="M18" s="9" t="s">
        <v>61</v>
      </c>
      <c r="N18" s="13" t="s">
        <v>53</v>
      </c>
      <c r="O18" s="5">
        <v>231</v>
      </c>
      <c r="P18" s="5" t="s">
        <v>26</v>
      </c>
      <c r="Q18" s="5"/>
      <c r="R18" s="17"/>
      <c r="S18" s="17"/>
      <c r="T18" s="18">
        <v>1057.13333333333</v>
      </c>
      <c r="U18" s="18">
        <v>244197.8</v>
      </c>
      <c r="V18" s="16" t="s">
        <v>81</v>
      </c>
      <c r="W18">
        <f t="shared" si="1"/>
        <v>1321.41666666666</v>
      </c>
      <c r="X18">
        <f t="shared" si="2"/>
        <v>305247.249999999</v>
      </c>
      <c r="Y18">
        <f t="shared" si="3"/>
        <v>187.434988179668</v>
      </c>
      <c r="Z18">
        <f t="shared" si="4"/>
        <v>43297.4822695034</v>
      </c>
      <c r="AA18">
        <f t="shared" si="5"/>
        <v>9.767912</v>
      </c>
    </row>
    <row r="19" ht="30" customHeight="1" spans="1:27">
      <c r="A19" s="5">
        <v>25</v>
      </c>
      <c r="B19" s="5" t="s">
        <v>25</v>
      </c>
      <c r="C19" s="5"/>
      <c r="D19" s="5">
        <f t="shared" si="6"/>
        <v>25</v>
      </c>
      <c r="E19" s="5" t="s">
        <v>26</v>
      </c>
      <c r="F19" s="6" t="s">
        <v>82</v>
      </c>
      <c r="G19" s="9" t="s">
        <v>37</v>
      </c>
      <c r="H19" s="9" t="s">
        <v>50</v>
      </c>
      <c r="I19" s="9" t="s">
        <v>51</v>
      </c>
      <c r="J19" s="9"/>
      <c r="K19" s="9" t="s">
        <v>31</v>
      </c>
      <c r="L19" s="9" t="s">
        <v>60</v>
      </c>
      <c r="M19" s="9" t="s">
        <v>61</v>
      </c>
      <c r="N19" s="13" t="s">
        <v>53</v>
      </c>
      <c r="O19" s="5">
        <v>25</v>
      </c>
      <c r="P19" s="5" t="s">
        <v>26</v>
      </c>
      <c r="Q19" s="5"/>
      <c r="R19" s="17"/>
      <c r="S19" s="17"/>
      <c r="T19" s="18">
        <v>1559.88888888889</v>
      </c>
      <c r="U19" s="18">
        <v>38997.2222222222</v>
      </c>
      <c r="V19" s="16" t="s">
        <v>81</v>
      </c>
      <c r="W19">
        <f t="shared" si="1"/>
        <v>1949.86111111111</v>
      </c>
      <c r="X19">
        <f t="shared" si="2"/>
        <v>48746.5277777778</v>
      </c>
      <c r="Y19">
        <f t="shared" si="3"/>
        <v>276.576044129236</v>
      </c>
      <c r="Z19">
        <f t="shared" si="4"/>
        <v>6914.4011032309</v>
      </c>
      <c r="AA19">
        <f t="shared" si="5"/>
        <v>1.55988888888889</v>
      </c>
    </row>
    <row r="20" ht="30" customHeight="1" spans="1:27">
      <c r="A20" s="5">
        <v>1192</v>
      </c>
      <c r="B20" s="5" t="s">
        <v>25</v>
      </c>
      <c r="C20" s="5"/>
      <c r="D20" s="5">
        <f t="shared" si="6"/>
        <v>1192</v>
      </c>
      <c r="E20" s="5" t="s">
        <v>26</v>
      </c>
      <c r="F20" s="6" t="s">
        <v>83</v>
      </c>
      <c r="G20" s="9" t="s">
        <v>37</v>
      </c>
      <c r="H20" s="9" t="s">
        <v>29</v>
      </c>
      <c r="I20" s="9" t="s">
        <v>55</v>
      </c>
      <c r="J20" s="9"/>
      <c r="K20" s="9" t="s">
        <v>31</v>
      </c>
      <c r="L20" s="9" t="s">
        <v>60</v>
      </c>
      <c r="M20" s="9" t="s">
        <v>61</v>
      </c>
      <c r="N20" s="13" t="s">
        <v>53</v>
      </c>
      <c r="O20" s="5">
        <v>1192</v>
      </c>
      <c r="P20" s="5" t="s">
        <v>26</v>
      </c>
      <c r="Q20" s="5"/>
      <c r="R20" s="17"/>
      <c r="S20" s="17"/>
      <c r="T20" s="18">
        <v>32.5444444444444</v>
      </c>
      <c r="U20" s="18">
        <v>38792.9777777778</v>
      </c>
      <c r="V20" s="16"/>
      <c r="W20">
        <f t="shared" si="1"/>
        <v>40.6805555555555</v>
      </c>
      <c r="X20">
        <f t="shared" si="2"/>
        <v>48491.2222222222</v>
      </c>
      <c r="Y20">
        <f t="shared" si="3"/>
        <v>5.7702915681639</v>
      </c>
      <c r="Z20">
        <f t="shared" si="4"/>
        <v>6878.18754925137</v>
      </c>
      <c r="AA20">
        <f t="shared" si="5"/>
        <v>1.55171911111111</v>
      </c>
    </row>
    <row r="21" ht="30" customHeight="1" spans="1:27">
      <c r="A21" s="5">
        <v>445</v>
      </c>
      <c r="B21" s="5" t="s">
        <v>25</v>
      </c>
      <c r="C21" s="5"/>
      <c r="D21" s="5">
        <f t="shared" si="6"/>
        <v>445</v>
      </c>
      <c r="E21" s="5" t="s">
        <v>26</v>
      </c>
      <c r="F21" s="6" t="s">
        <v>84</v>
      </c>
      <c r="G21" s="9" t="s">
        <v>37</v>
      </c>
      <c r="H21" s="9" t="s">
        <v>57</v>
      </c>
      <c r="I21" s="9" t="s">
        <v>55</v>
      </c>
      <c r="J21" s="9"/>
      <c r="K21" s="9" t="s">
        <v>31</v>
      </c>
      <c r="L21" s="9" t="s">
        <v>60</v>
      </c>
      <c r="M21" s="9" t="s">
        <v>61</v>
      </c>
      <c r="N21" s="13" t="s">
        <v>53</v>
      </c>
      <c r="O21" s="5">
        <v>445</v>
      </c>
      <c r="P21" s="5" t="s">
        <v>26</v>
      </c>
      <c r="Q21" s="5"/>
      <c r="R21" s="17"/>
      <c r="S21" s="17"/>
      <c r="T21" s="18">
        <v>74.0666666666667</v>
      </c>
      <c r="U21" s="18">
        <v>32959.6666666667</v>
      </c>
      <c r="V21" s="16"/>
      <c r="W21">
        <f t="shared" si="1"/>
        <v>92.5833333333334</v>
      </c>
      <c r="X21">
        <f t="shared" si="2"/>
        <v>41199.5833333334</v>
      </c>
      <c r="Y21">
        <f t="shared" si="3"/>
        <v>13.1323877068558</v>
      </c>
      <c r="Z21">
        <f t="shared" si="4"/>
        <v>5843.91252955083</v>
      </c>
      <c r="AA21">
        <f t="shared" si="5"/>
        <v>1.31838666666667</v>
      </c>
    </row>
    <row r="22" ht="30" customHeight="1" spans="1:27">
      <c r="A22" s="5">
        <v>365</v>
      </c>
      <c r="B22" s="5" t="s">
        <v>25</v>
      </c>
      <c r="C22" s="5"/>
      <c r="D22" s="5">
        <f t="shared" si="6"/>
        <v>365</v>
      </c>
      <c r="E22" s="5" t="s">
        <v>26</v>
      </c>
      <c r="F22" s="6" t="s">
        <v>85</v>
      </c>
      <c r="G22" s="9" t="s">
        <v>37</v>
      </c>
      <c r="H22" s="9" t="s">
        <v>59</v>
      </c>
      <c r="I22" s="9" t="s">
        <v>55</v>
      </c>
      <c r="J22" s="9"/>
      <c r="K22" s="9" t="s">
        <v>31</v>
      </c>
      <c r="L22" s="9" t="s">
        <v>60</v>
      </c>
      <c r="M22" s="9" t="s">
        <v>61</v>
      </c>
      <c r="N22" s="13" t="s">
        <v>53</v>
      </c>
      <c r="O22" s="5">
        <v>365</v>
      </c>
      <c r="P22" s="5" t="s">
        <v>26</v>
      </c>
      <c r="Q22" s="5"/>
      <c r="R22" s="17"/>
      <c r="S22" s="17"/>
      <c r="T22" s="18">
        <v>117.833333333333</v>
      </c>
      <c r="U22" s="18">
        <v>43009.1666666667</v>
      </c>
      <c r="V22" s="16"/>
      <c r="W22">
        <f t="shared" si="1"/>
        <v>147.291666666666</v>
      </c>
      <c r="X22">
        <f t="shared" si="2"/>
        <v>53761.4583333332</v>
      </c>
      <c r="Y22">
        <f t="shared" si="3"/>
        <v>20.8924349881796</v>
      </c>
      <c r="Z22">
        <f t="shared" si="4"/>
        <v>7625.73877068556</v>
      </c>
      <c r="AA22">
        <f t="shared" si="5"/>
        <v>1.72036666666667</v>
      </c>
    </row>
    <row r="23" ht="30" customHeight="1" spans="1:27">
      <c r="A23" s="5">
        <v>191</v>
      </c>
      <c r="B23" s="5" t="s">
        <v>25</v>
      </c>
      <c r="C23" s="5"/>
      <c r="D23" s="5">
        <f t="shared" si="6"/>
        <v>191</v>
      </c>
      <c r="E23" s="5" t="s">
        <v>26</v>
      </c>
      <c r="F23" s="6" t="s">
        <v>86</v>
      </c>
      <c r="G23" s="9" t="s">
        <v>37</v>
      </c>
      <c r="H23" s="9" t="s">
        <v>63</v>
      </c>
      <c r="I23" s="9" t="s">
        <v>64</v>
      </c>
      <c r="J23" s="9"/>
      <c r="K23" s="9" t="s">
        <v>31</v>
      </c>
      <c r="L23" s="9" t="s">
        <v>60</v>
      </c>
      <c r="M23" s="9" t="s">
        <v>61</v>
      </c>
      <c r="N23" s="13" t="s">
        <v>53</v>
      </c>
      <c r="O23" s="5">
        <v>191</v>
      </c>
      <c r="P23" s="5" t="s">
        <v>26</v>
      </c>
      <c r="Q23" s="5"/>
      <c r="R23" s="17"/>
      <c r="S23" s="17"/>
      <c r="T23" s="18">
        <v>289.533333333333</v>
      </c>
      <c r="U23" s="18">
        <v>55300.8666666667</v>
      </c>
      <c r="V23" s="16"/>
      <c r="W23">
        <f t="shared" si="1"/>
        <v>361.916666666666</v>
      </c>
      <c r="X23">
        <f t="shared" si="2"/>
        <v>69126.0833333333</v>
      </c>
      <c r="Y23">
        <f t="shared" si="3"/>
        <v>51.3356973995271</v>
      </c>
      <c r="Z23">
        <f t="shared" si="4"/>
        <v>9805.11820330968</v>
      </c>
      <c r="AA23">
        <f t="shared" si="5"/>
        <v>2.21203466666667</v>
      </c>
    </row>
    <row r="24" ht="30" customHeight="1" spans="1:27">
      <c r="A24" s="5">
        <v>233</v>
      </c>
      <c r="B24" s="5" t="s">
        <v>25</v>
      </c>
      <c r="C24" s="5"/>
      <c r="D24" s="5">
        <f t="shared" si="6"/>
        <v>233</v>
      </c>
      <c r="E24" s="5" t="s">
        <v>26</v>
      </c>
      <c r="F24" s="6" t="s">
        <v>87</v>
      </c>
      <c r="G24" s="9" t="s">
        <v>37</v>
      </c>
      <c r="H24" s="9" t="s">
        <v>66</v>
      </c>
      <c r="I24" s="9" t="s">
        <v>67</v>
      </c>
      <c r="J24" s="9"/>
      <c r="K24" s="9" t="s">
        <v>31</v>
      </c>
      <c r="L24" s="9" t="s">
        <v>60</v>
      </c>
      <c r="M24" s="9" t="s">
        <v>61</v>
      </c>
      <c r="N24" s="13" t="s">
        <v>53</v>
      </c>
      <c r="O24" s="5">
        <v>233</v>
      </c>
      <c r="P24" s="5" t="s">
        <v>26</v>
      </c>
      <c r="Q24" s="5"/>
      <c r="R24" s="17"/>
      <c r="S24" s="17"/>
      <c r="T24" s="18">
        <v>620.588888888889</v>
      </c>
      <c r="U24" s="18">
        <v>144597.211111111</v>
      </c>
      <c r="V24" s="16"/>
      <c r="W24">
        <f t="shared" si="1"/>
        <v>775.736111111111</v>
      </c>
      <c r="X24">
        <f t="shared" si="2"/>
        <v>180746.513888889</v>
      </c>
      <c r="Y24">
        <f t="shared" si="3"/>
        <v>110.033490937746</v>
      </c>
      <c r="Z24">
        <f t="shared" si="4"/>
        <v>25637.8033884949</v>
      </c>
      <c r="AA24">
        <f t="shared" si="5"/>
        <v>5.78388844444444</v>
      </c>
    </row>
    <row r="25" ht="30" customHeight="1" spans="1:27">
      <c r="A25" s="5">
        <v>30</v>
      </c>
      <c r="B25" s="5" t="s">
        <v>25</v>
      </c>
      <c r="C25" s="5"/>
      <c r="D25" s="5">
        <f t="shared" si="6"/>
        <v>30</v>
      </c>
      <c r="E25" s="5" t="s">
        <v>26</v>
      </c>
      <c r="F25" s="6" t="s">
        <v>88</v>
      </c>
      <c r="G25" s="9" t="s">
        <v>37</v>
      </c>
      <c r="H25" s="9" t="s">
        <v>77</v>
      </c>
      <c r="I25" s="9" t="s">
        <v>64</v>
      </c>
      <c r="J25" s="9"/>
      <c r="K25" s="9" t="s">
        <v>31</v>
      </c>
      <c r="L25" s="9" t="s">
        <v>60</v>
      </c>
      <c r="M25" s="9" t="s">
        <v>70</v>
      </c>
      <c r="N25" s="13" t="s">
        <v>53</v>
      </c>
      <c r="O25" s="5">
        <v>30</v>
      </c>
      <c r="P25" s="5" t="s">
        <v>26</v>
      </c>
      <c r="Q25" s="5"/>
      <c r="R25" s="17"/>
      <c r="S25" s="17"/>
      <c r="T25" s="18">
        <v>32.5444444444444</v>
      </c>
      <c r="U25" s="18">
        <v>976.333333333333</v>
      </c>
      <c r="V25" s="16"/>
      <c r="W25">
        <f t="shared" si="1"/>
        <v>40.6805555555555</v>
      </c>
      <c r="X25">
        <f t="shared" si="2"/>
        <v>1220.41666666666</v>
      </c>
      <c r="Y25">
        <f t="shared" si="3"/>
        <v>5.7702915681639</v>
      </c>
      <c r="Z25">
        <f t="shared" si="4"/>
        <v>173.108747044917</v>
      </c>
      <c r="AA25">
        <f t="shared" si="5"/>
        <v>0.0390533333333333</v>
      </c>
    </row>
    <row r="26" ht="30" customHeight="1" spans="1:27">
      <c r="A26" s="5">
        <v>426</v>
      </c>
      <c r="B26" s="5" t="s">
        <v>25</v>
      </c>
      <c r="C26" s="5"/>
      <c r="D26" s="5">
        <f t="shared" si="6"/>
        <v>426</v>
      </c>
      <c r="E26" s="5" t="s">
        <v>26</v>
      </c>
      <c r="F26" s="6" t="s">
        <v>89</v>
      </c>
      <c r="G26" s="9" t="s">
        <v>37</v>
      </c>
      <c r="H26" s="9" t="s">
        <v>69</v>
      </c>
      <c r="I26" s="9" t="s">
        <v>64</v>
      </c>
      <c r="J26" s="9"/>
      <c r="K26" s="9" t="s">
        <v>31</v>
      </c>
      <c r="L26" s="9" t="s">
        <v>60</v>
      </c>
      <c r="M26" s="9" t="s">
        <v>70</v>
      </c>
      <c r="N26" s="13" t="s">
        <v>53</v>
      </c>
      <c r="O26" s="5">
        <v>426</v>
      </c>
      <c r="P26" s="5" t="s">
        <v>26</v>
      </c>
      <c r="Q26" s="5"/>
      <c r="R26" s="17"/>
      <c r="S26" s="17"/>
      <c r="T26" s="18">
        <v>33.6666666666667</v>
      </c>
      <c r="U26" s="18">
        <v>14342</v>
      </c>
      <c r="V26" s="16"/>
      <c r="W26">
        <f t="shared" si="1"/>
        <v>42.0833333333334</v>
      </c>
      <c r="X26">
        <f t="shared" si="2"/>
        <v>17927.5</v>
      </c>
      <c r="Y26">
        <f t="shared" si="3"/>
        <v>5.96926713947991</v>
      </c>
      <c r="Z26">
        <f t="shared" si="4"/>
        <v>2542.90780141844</v>
      </c>
      <c r="AA26">
        <f t="shared" si="5"/>
        <v>0.57368</v>
      </c>
    </row>
    <row r="27" ht="30" customHeight="1" spans="1:27">
      <c r="A27" s="5">
        <v>660</v>
      </c>
      <c r="B27" s="5" t="s">
        <v>25</v>
      </c>
      <c r="C27" s="5"/>
      <c r="D27" s="5">
        <f t="shared" si="6"/>
        <v>660</v>
      </c>
      <c r="E27" s="5" t="s">
        <v>26</v>
      </c>
      <c r="F27" s="6" t="s">
        <v>90</v>
      </c>
      <c r="G27" s="9" t="s">
        <v>37</v>
      </c>
      <c r="H27" s="9" t="s">
        <v>72</v>
      </c>
      <c r="I27" s="9" t="s">
        <v>64</v>
      </c>
      <c r="J27" s="9"/>
      <c r="K27" s="9" t="s">
        <v>31</v>
      </c>
      <c r="L27" s="9" t="s">
        <v>60</v>
      </c>
      <c r="M27" s="9" t="s">
        <v>70</v>
      </c>
      <c r="N27" s="13" t="s">
        <v>53</v>
      </c>
      <c r="O27" s="5">
        <v>660</v>
      </c>
      <c r="P27" s="5" t="s">
        <v>26</v>
      </c>
      <c r="Q27" s="5"/>
      <c r="R27" s="17"/>
      <c r="S27" s="17"/>
      <c r="T27" s="18">
        <v>40.4</v>
      </c>
      <c r="U27" s="18">
        <v>26664</v>
      </c>
      <c r="V27" s="16"/>
      <c r="W27">
        <f t="shared" si="1"/>
        <v>50.5</v>
      </c>
      <c r="X27">
        <f t="shared" si="2"/>
        <v>33330</v>
      </c>
      <c r="Y27">
        <f t="shared" si="3"/>
        <v>7.16312056737589</v>
      </c>
      <c r="Z27">
        <f t="shared" si="4"/>
        <v>4727.65957446809</v>
      </c>
      <c r="AA27">
        <f t="shared" si="5"/>
        <v>1.06656</v>
      </c>
    </row>
    <row r="28" ht="30" customHeight="1" spans="1:27">
      <c r="A28" s="5">
        <v>199</v>
      </c>
      <c r="B28" s="5" t="s">
        <v>25</v>
      </c>
      <c r="C28" s="5"/>
      <c r="D28" s="5">
        <f t="shared" si="6"/>
        <v>199</v>
      </c>
      <c r="E28" s="5" t="s">
        <v>26</v>
      </c>
      <c r="F28" s="6" t="s">
        <v>91</v>
      </c>
      <c r="G28" s="9" t="s">
        <v>37</v>
      </c>
      <c r="H28" s="9" t="s">
        <v>74</v>
      </c>
      <c r="I28" s="9" t="s">
        <v>75</v>
      </c>
      <c r="J28" s="9"/>
      <c r="K28" s="9" t="s">
        <v>31</v>
      </c>
      <c r="L28" s="9" t="s">
        <v>60</v>
      </c>
      <c r="M28" s="9" t="s">
        <v>70</v>
      </c>
      <c r="N28" s="13" t="s">
        <v>53</v>
      </c>
      <c r="O28" s="5">
        <v>199</v>
      </c>
      <c r="P28" s="5" t="s">
        <v>26</v>
      </c>
      <c r="Q28" s="5"/>
      <c r="R28" s="17"/>
      <c r="S28" s="17"/>
      <c r="T28" s="18">
        <v>62.8444444444444</v>
      </c>
      <c r="U28" s="18">
        <v>12506.0444444444</v>
      </c>
      <c r="V28" s="16"/>
      <c r="W28">
        <f t="shared" si="1"/>
        <v>78.5555555555555</v>
      </c>
      <c r="X28">
        <f t="shared" si="2"/>
        <v>15632.5555555555</v>
      </c>
      <c r="Y28">
        <f t="shared" si="3"/>
        <v>11.1426319936958</v>
      </c>
      <c r="Z28">
        <f t="shared" si="4"/>
        <v>2217.38376674547</v>
      </c>
      <c r="AA28">
        <f t="shared" si="5"/>
        <v>0.500241777777776</v>
      </c>
    </row>
    <row r="29" ht="30" customHeight="1" spans="1:27">
      <c r="A29" s="5">
        <v>7</v>
      </c>
      <c r="B29" s="5" t="s">
        <v>25</v>
      </c>
      <c r="C29" s="5"/>
      <c r="D29" s="5">
        <f t="shared" si="6"/>
        <v>7</v>
      </c>
      <c r="E29" s="5" t="s">
        <v>26</v>
      </c>
      <c r="F29" s="6" t="s">
        <v>92</v>
      </c>
      <c r="G29" s="9" t="s">
        <v>93</v>
      </c>
      <c r="H29" s="9" t="s">
        <v>74</v>
      </c>
      <c r="I29" s="9"/>
      <c r="J29" s="9" t="s">
        <v>94</v>
      </c>
      <c r="K29" s="9" t="s">
        <v>44</v>
      </c>
      <c r="L29" s="9" t="s">
        <v>95</v>
      </c>
      <c r="M29" s="9" t="s">
        <v>96</v>
      </c>
      <c r="N29" s="13" t="s">
        <v>53</v>
      </c>
      <c r="O29" s="5">
        <v>7</v>
      </c>
      <c r="P29" s="5" t="s">
        <v>26</v>
      </c>
      <c r="Q29" s="5"/>
      <c r="R29" s="17"/>
      <c r="S29" s="17"/>
      <c r="T29" s="18">
        <v>87.87</v>
      </c>
      <c r="U29" s="18">
        <v>615.09</v>
      </c>
      <c r="V29" s="16"/>
      <c r="W29">
        <f t="shared" si="1"/>
        <v>109.8375</v>
      </c>
      <c r="X29">
        <f t="shared" si="2"/>
        <v>768.8625</v>
      </c>
      <c r="Y29">
        <f t="shared" si="3"/>
        <v>15.5797872340426</v>
      </c>
      <c r="Z29">
        <f t="shared" si="4"/>
        <v>109.058510638298</v>
      </c>
      <c r="AA29">
        <f t="shared" si="5"/>
        <v>0.0246036</v>
      </c>
    </row>
    <row r="30" ht="30" customHeight="1" spans="1:27">
      <c r="A30" s="5">
        <v>4</v>
      </c>
      <c r="B30" s="5" t="s">
        <v>25</v>
      </c>
      <c r="C30" s="5"/>
      <c r="D30" s="5">
        <f t="shared" si="6"/>
        <v>4</v>
      </c>
      <c r="E30" s="5" t="s">
        <v>26</v>
      </c>
      <c r="F30" s="6" t="s">
        <v>97</v>
      </c>
      <c r="G30" s="9" t="s">
        <v>93</v>
      </c>
      <c r="H30" s="9" t="s">
        <v>50</v>
      </c>
      <c r="I30" s="9"/>
      <c r="J30" s="9" t="s">
        <v>98</v>
      </c>
      <c r="K30" s="9" t="s">
        <v>99</v>
      </c>
      <c r="L30" s="9" t="s">
        <v>95</v>
      </c>
      <c r="M30" s="9" t="s">
        <v>96</v>
      </c>
      <c r="N30" s="13" t="s">
        <v>53</v>
      </c>
      <c r="O30" s="5">
        <v>4</v>
      </c>
      <c r="P30" s="5" t="s">
        <v>26</v>
      </c>
      <c r="Q30" s="5"/>
      <c r="R30" s="17"/>
      <c r="S30" s="17"/>
      <c r="T30" s="18">
        <v>1343.3</v>
      </c>
      <c r="U30" s="18">
        <v>5373.2</v>
      </c>
      <c r="V30" s="16"/>
      <c r="W30">
        <f t="shared" si="1"/>
        <v>1679.125</v>
      </c>
      <c r="X30">
        <f t="shared" si="2"/>
        <v>6716.5</v>
      </c>
      <c r="Y30">
        <f t="shared" si="3"/>
        <v>238.173758865248</v>
      </c>
      <c r="Z30">
        <f t="shared" si="4"/>
        <v>952.695035460993</v>
      </c>
      <c r="AA30">
        <f t="shared" si="5"/>
        <v>0.214928</v>
      </c>
    </row>
    <row r="31" ht="30" customHeight="1" spans="1:27">
      <c r="A31" s="5">
        <v>46</v>
      </c>
      <c r="B31" s="5" t="s">
        <v>25</v>
      </c>
      <c r="C31" s="5"/>
      <c r="D31" s="5">
        <f t="shared" si="6"/>
        <v>46</v>
      </c>
      <c r="E31" s="5" t="s">
        <v>26</v>
      </c>
      <c r="F31" s="6" t="s">
        <v>100</v>
      </c>
      <c r="G31" s="9" t="s">
        <v>93</v>
      </c>
      <c r="H31" s="9" t="s">
        <v>29</v>
      </c>
      <c r="I31" s="9"/>
      <c r="J31" s="9" t="s">
        <v>98</v>
      </c>
      <c r="K31" s="9" t="s">
        <v>99</v>
      </c>
      <c r="L31" s="9" t="s">
        <v>95</v>
      </c>
      <c r="M31" s="9" t="s">
        <v>96</v>
      </c>
      <c r="N31" s="13" t="s">
        <v>53</v>
      </c>
      <c r="O31" s="5">
        <v>46</v>
      </c>
      <c r="P31" s="5" t="s">
        <v>26</v>
      </c>
      <c r="Q31" s="5"/>
      <c r="R31" s="17"/>
      <c r="S31" s="17"/>
      <c r="T31" s="18">
        <v>122.21</v>
      </c>
      <c r="U31" s="18">
        <v>5621.66</v>
      </c>
      <c r="V31" s="16"/>
      <c r="W31">
        <f t="shared" si="1"/>
        <v>152.7625</v>
      </c>
      <c r="X31">
        <f t="shared" si="2"/>
        <v>7027.075</v>
      </c>
      <c r="Y31">
        <f t="shared" si="3"/>
        <v>21.6684397163121</v>
      </c>
      <c r="Z31">
        <f t="shared" si="4"/>
        <v>996.748226950354</v>
      </c>
      <c r="AA31">
        <f t="shared" si="5"/>
        <v>0.2248664</v>
      </c>
    </row>
    <row r="32" ht="30" customHeight="1" spans="1:27">
      <c r="A32" s="5">
        <v>11</v>
      </c>
      <c r="B32" s="5" t="s">
        <v>25</v>
      </c>
      <c r="C32" s="5"/>
      <c r="D32" s="5">
        <f t="shared" si="6"/>
        <v>11</v>
      </c>
      <c r="E32" s="5" t="s">
        <v>26</v>
      </c>
      <c r="F32" s="6" t="s">
        <v>101</v>
      </c>
      <c r="G32" s="9" t="s">
        <v>102</v>
      </c>
      <c r="H32" s="9" t="s">
        <v>103</v>
      </c>
      <c r="I32" s="9" t="s">
        <v>104</v>
      </c>
      <c r="J32" s="9"/>
      <c r="K32" s="9" t="s">
        <v>31</v>
      </c>
      <c r="L32" s="9" t="s">
        <v>60</v>
      </c>
      <c r="M32" s="9" t="s">
        <v>105</v>
      </c>
      <c r="N32" s="13" t="s">
        <v>53</v>
      </c>
      <c r="O32" s="5">
        <v>11</v>
      </c>
      <c r="P32" s="5" t="s">
        <v>26</v>
      </c>
      <c r="Q32" s="5"/>
      <c r="R32" s="17"/>
      <c r="S32" s="17"/>
      <c r="T32" s="18">
        <v>22.4444444444444</v>
      </c>
      <c r="U32" s="18">
        <v>246.888888888889</v>
      </c>
      <c r="V32" s="16"/>
      <c r="W32">
        <f t="shared" si="1"/>
        <v>28.0555555555555</v>
      </c>
      <c r="X32">
        <f t="shared" si="2"/>
        <v>308.611111111111</v>
      </c>
      <c r="Y32">
        <f t="shared" si="3"/>
        <v>3.97951142631993</v>
      </c>
      <c r="Z32">
        <f t="shared" si="4"/>
        <v>43.7746256895192</v>
      </c>
      <c r="AA32">
        <f t="shared" si="5"/>
        <v>0.00987555555555556</v>
      </c>
    </row>
    <row r="33" ht="30" customHeight="1" spans="1:27">
      <c r="A33" s="5">
        <v>70</v>
      </c>
      <c r="B33" s="5" t="s">
        <v>25</v>
      </c>
      <c r="C33" s="5"/>
      <c r="D33" s="5">
        <f t="shared" si="6"/>
        <v>70</v>
      </c>
      <c r="E33" s="5" t="s">
        <v>26</v>
      </c>
      <c r="F33" s="6" t="s">
        <v>106</v>
      </c>
      <c r="G33" s="9" t="s">
        <v>102</v>
      </c>
      <c r="H33" s="9" t="s">
        <v>107</v>
      </c>
      <c r="I33" s="9" t="s">
        <v>108</v>
      </c>
      <c r="J33" s="9"/>
      <c r="K33" s="9" t="s">
        <v>31</v>
      </c>
      <c r="L33" s="9" t="s">
        <v>60</v>
      </c>
      <c r="M33" s="9" t="s">
        <v>105</v>
      </c>
      <c r="N33" s="13" t="s">
        <v>53</v>
      </c>
      <c r="O33" s="5">
        <v>70</v>
      </c>
      <c r="P33" s="5" t="s">
        <v>26</v>
      </c>
      <c r="Q33" s="5"/>
      <c r="R33" s="17"/>
      <c r="S33" s="17"/>
      <c r="T33" s="18">
        <v>23.5666666666667</v>
      </c>
      <c r="U33" s="18">
        <v>1649.66666666667</v>
      </c>
      <c r="V33" s="16"/>
      <c r="W33">
        <f t="shared" si="1"/>
        <v>29.4583333333334</v>
      </c>
      <c r="X33">
        <f t="shared" si="2"/>
        <v>2062.08333333334</v>
      </c>
      <c r="Y33">
        <f t="shared" si="3"/>
        <v>4.17848699763594</v>
      </c>
      <c r="Z33">
        <f t="shared" si="4"/>
        <v>292.494089834516</v>
      </c>
      <c r="AA33">
        <f t="shared" si="5"/>
        <v>0.0659866666666668</v>
      </c>
    </row>
    <row r="34" ht="30" customHeight="1" spans="1:27">
      <c r="A34" s="5">
        <v>66</v>
      </c>
      <c r="B34" s="5" t="s">
        <v>25</v>
      </c>
      <c r="C34" s="5"/>
      <c r="D34" s="5">
        <f t="shared" si="6"/>
        <v>66</v>
      </c>
      <c r="E34" s="5" t="s">
        <v>26</v>
      </c>
      <c r="F34" s="6" t="s">
        <v>109</v>
      </c>
      <c r="G34" s="9" t="s">
        <v>102</v>
      </c>
      <c r="H34" s="9" t="s">
        <v>110</v>
      </c>
      <c r="I34" s="9" t="s">
        <v>111</v>
      </c>
      <c r="J34" s="9"/>
      <c r="K34" s="9" t="s">
        <v>31</v>
      </c>
      <c r="L34" s="9" t="s">
        <v>60</v>
      </c>
      <c r="M34" s="9" t="s">
        <v>105</v>
      </c>
      <c r="N34" s="13" t="s">
        <v>53</v>
      </c>
      <c r="O34" s="5">
        <v>66</v>
      </c>
      <c r="P34" s="5" t="s">
        <v>26</v>
      </c>
      <c r="Q34" s="5"/>
      <c r="R34" s="17"/>
      <c r="S34" s="17"/>
      <c r="T34" s="18">
        <v>67.3333333333333</v>
      </c>
      <c r="U34" s="18">
        <v>4444</v>
      </c>
      <c r="V34" s="16"/>
      <c r="W34">
        <f t="shared" si="1"/>
        <v>84.1666666666666</v>
      </c>
      <c r="X34">
        <f t="shared" si="2"/>
        <v>5555</v>
      </c>
      <c r="Y34">
        <f t="shared" si="3"/>
        <v>11.9385342789598</v>
      </c>
      <c r="Z34">
        <f t="shared" si="4"/>
        <v>787.943262411347</v>
      </c>
      <c r="AA34">
        <f t="shared" si="5"/>
        <v>0.17776</v>
      </c>
    </row>
    <row r="35" ht="30" customHeight="1" spans="1:27">
      <c r="A35" s="5">
        <v>1</v>
      </c>
      <c r="B35" s="5" t="s">
        <v>25</v>
      </c>
      <c r="C35" s="5"/>
      <c r="D35" s="5">
        <f t="shared" si="6"/>
        <v>1</v>
      </c>
      <c r="E35" s="5" t="s">
        <v>26</v>
      </c>
      <c r="F35" s="6" t="s">
        <v>112</v>
      </c>
      <c r="G35" s="9" t="s">
        <v>102</v>
      </c>
      <c r="H35" s="9" t="s">
        <v>113</v>
      </c>
      <c r="I35" s="9" t="s">
        <v>114</v>
      </c>
      <c r="J35" s="9"/>
      <c r="K35" s="9" t="s">
        <v>31</v>
      </c>
      <c r="L35" s="9" t="s">
        <v>60</v>
      </c>
      <c r="M35" s="9" t="s">
        <v>105</v>
      </c>
      <c r="N35" s="13" t="s">
        <v>53</v>
      </c>
      <c r="O35" s="5">
        <v>1</v>
      </c>
      <c r="P35" s="5" t="s">
        <v>26</v>
      </c>
      <c r="Q35" s="5"/>
      <c r="R35" s="17"/>
      <c r="S35" s="17"/>
      <c r="T35" s="18">
        <v>12.3444444444444</v>
      </c>
      <c r="U35" s="18">
        <v>12.3444444444444</v>
      </c>
      <c r="V35" s="16"/>
      <c r="W35">
        <f t="shared" si="1"/>
        <v>15.4305555555555</v>
      </c>
      <c r="X35">
        <f t="shared" si="2"/>
        <v>15.4305555555555</v>
      </c>
      <c r="Y35">
        <f t="shared" si="3"/>
        <v>2.18873128447596</v>
      </c>
      <c r="Z35">
        <f t="shared" si="4"/>
        <v>2.18873128447596</v>
      </c>
      <c r="AA35">
        <f t="shared" si="5"/>
        <v>0.000493777777777776</v>
      </c>
    </row>
    <row r="36" ht="30" customHeight="1" spans="1:27">
      <c r="A36" s="5">
        <v>9</v>
      </c>
      <c r="B36" s="5" t="s">
        <v>25</v>
      </c>
      <c r="C36" s="5"/>
      <c r="D36" s="5">
        <f t="shared" si="6"/>
        <v>9</v>
      </c>
      <c r="E36" s="5" t="s">
        <v>26</v>
      </c>
      <c r="F36" s="6" t="s">
        <v>115</v>
      </c>
      <c r="G36" s="9" t="s">
        <v>102</v>
      </c>
      <c r="H36" s="9" t="s">
        <v>116</v>
      </c>
      <c r="I36" s="9" t="s">
        <v>117</v>
      </c>
      <c r="J36" s="9"/>
      <c r="K36" s="9" t="s">
        <v>31</v>
      </c>
      <c r="L36" s="9" t="s">
        <v>60</v>
      </c>
      <c r="M36" s="9" t="s">
        <v>118</v>
      </c>
      <c r="N36" s="13" t="s">
        <v>53</v>
      </c>
      <c r="O36" s="5">
        <v>9</v>
      </c>
      <c r="P36" s="5" t="s">
        <v>26</v>
      </c>
      <c r="Q36" s="5"/>
      <c r="R36" s="17"/>
      <c r="S36" s="17"/>
      <c r="T36" s="18">
        <v>221.077777777778</v>
      </c>
      <c r="U36" s="18">
        <v>1989.7</v>
      </c>
      <c r="V36" s="16"/>
      <c r="W36">
        <f t="shared" si="1"/>
        <v>276.347222222223</v>
      </c>
      <c r="X36">
        <f t="shared" si="2"/>
        <v>2487.125</v>
      </c>
      <c r="Y36">
        <f t="shared" si="3"/>
        <v>39.1981875492514</v>
      </c>
      <c r="Z36">
        <f t="shared" si="4"/>
        <v>352.783687943263</v>
      </c>
      <c r="AA36">
        <f t="shared" ref="AA36:AA67" si="7">U36/25000</f>
        <v>0.079588</v>
      </c>
    </row>
    <row r="37" ht="30" customHeight="1" spans="1:27">
      <c r="A37" s="5">
        <v>7</v>
      </c>
      <c r="B37" s="5" t="s">
        <v>25</v>
      </c>
      <c r="C37" s="5"/>
      <c r="D37" s="5">
        <f t="shared" ref="D37:D54" si="8">A37</f>
        <v>7</v>
      </c>
      <c r="E37" s="5" t="s">
        <v>26</v>
      </c>
      <c r="F37" s="6" t="s">
        <v>119</v>
      </c>
      <c r="G37" s="9" t="s">
        <v>102</v>
      </c>
      <c r="H37" s="9" t="s">
        <v>120</v>
      </c>
      <c r="I37" s="9" t="s">
        <v>117</v>
      </c>
      <c r="J37" s="9"/>
      <c r="K37" s="9" t="s">
        <v>31</v>
      </c>
      <c r="L37" s="9" t="s">
        <v>60</v>
      </c>
      <c r="M37" s="9" t="s">
        <v>118</v>
      </c>
      <c r="N37" s="13" t="s">
        <v>53</v>
      </c>
      <c r="O37" s="5">
        <v>7</v>
      </c>
      <c r="P37" s="5" t="s">
        <v>26</v>
      </c>
      <c r="Q37" s="5"/>
      <c r="R37" s="17"/>
      <c r="S37" s="17"/>
      <c r="T37" s="18">
        <v>203.122222222222</v>
      </c>
      <c r="U37" s="18">
        <v>1421.85555555556</v>
      </c>
      <c r="V37" s="16"/>
      <c r="W37">
        <f t="shared" si="1"/>
        <v>253.902777777778</v>
      </c>
      <c r="X37">
        <f t="shared" si="2"/>
        <v>1777.31944444444</v>
      </c>
      <c r="Y37">
        <f t="shared" si="3"/>
        <v>36.0145784081954</v>
      </c>
      <c r="Z37">
        <f t="shared" si="4"/>
        <v>252.102048857368</v>
      </c>
      <c r="AA37">
        <f t="shared" si="7"/>
        <v>0.0568742222222224</v>
      </c>
    </row>
    <row r="38" ht="30" customHeight="1" spans="1:27">
      <c r="A38" s="5">
        <v>60</v>
      </c>
      <c r="B38" s="5" t="s">
        <v>25</v>
      </c>
      <c r="C38" s="5"/>
      <c r="D38" s="5">
        <f t="shared" si="8"/>
        <v>60</v>
      </c>
      <c r="E38" s="5" t="s">
        <v>26</v>
      </c>
      <c r="F38" s="6" t="s">
        <v>121</v>
      </c>
      <c r="G38" s="9" t="s">
        <v>122</v>
      </c>
      <c r="H38" s="9" t="s">
        <v>123</v>
      </c>
      <c r="I38" s="9" t="s">
        <v>114</v>
      </c>
      <c r="J38" s="9"/>
      <c r="K38" s="9" t="s">
        <v>31</v>
      </c>
      <c r="L38" s="9" t="s">
        <v>60</v>
      </c>
      <c r="M38" s="9" t="s">
        <v>118</v>
      </c>
      <c r="N38" s="13" t="s">
        <v>53</v>
      </c>
      <c r="O38" s="5">
        <v>60</v>
      </c>
      <c r="P38" s="5" t="s">
        <v>26</v>
      </c>
      <c r="Q38" s="5"/>
      <c r="R38" s="17"/>
      <c r="S38" s="17"/>
      <c r="T38" s="18">
        <v>16.8333333333333</v>
      </c>
      <c r="U38" s="18">
        <v>1010</v>
      </c>
      <c r="V38" s="16"/>
      <c r="W38">
        <f t="shared" si="1"/>
        <v>21.0416666666666</v>
      </c>
      <c r="X38">
        <f t="shared" si="2"/>
        <v>1262.5</v>
      </c>
      <c r="Y38">
        <f t="shared" si="3"/>
        <v>2.98463356973995</v>
      </c>
      <c r="Z38">
        <f t="shared" si="4"/>
        <v>179.078014184397</v>
      </c>
      <c r="AA38">
        <f t="shared" si="7"/>
        <v>0.0404</v>
      </c>
    </row>
    <row r="39" ht="30" customHeight="1" spans="1:27">
      <c r="A39" s="5">
        <v>52</v>
      </c>
      <c r="B39" s="5" t="s">
        <v>25</v>
      </c>
      <c r="C39" s="5"/>
      <c r="D39" s="5">
        <f t="shared" si="8"/>
        <v>52</v>
      </c>
      <c r="E39" s="5" t="s">
        <v>26</v>
      </c>
      <c r="F39" s="6" t="s">
        <v>124</v>
      </c>
      <c r="G39" s="9" t="s">
        <v>122</v>
      </c>
      <c r="H39" s="9" t="s">
        <v>113</v>
      </c>
      <c r="I39" s="9" t="s">
        <v>114</v>
      </c>
      <c r="J39" s="9"/>
      <c r="K39" s="9" t="s">
        <v>31</v>
      </c>
      <c r="L39" s="9" t="s">
        <v>60</v>
      </c>
      <c r="M39" s="9" t="s">
        <v>118</v>
      </c>
      <c r="N39" s="13" t="s">
        <v>53</v>
      </c>
      <c r="O39" s="5">
        <v>52</v>
      </c>
      <c r="P39" s="5" t="s">
        <v>26</v>
      </c>
      <c r="Q39" s="5"/>
      <c r="R39" s="17"/>
      <c r="S39" s="17"/>
      <c r="T39" s="18">
        <v>13.4666666666667</v>
      </c>
      <c r="U39" s="18">
        <v>700.266666666667</v>
      </c>
      <c r="V39" s="16"/>
      <c r="W39">
        <f t="shared" si="1"/>
        <v>16.8333333333334</v>
      </c>
      <c r="X39">
        <f t="shared" si="2"/>
        <v>875.333333333336</v>
      </c>
      <c r="Y39">
        <f t="shared" si="3"/>
        <v>2.38770685579197</v>
      </c>
      <c r="Z39">
        <f t="shared" si="4"/>
        <v>124.160756501182</v>
      </c>
      <c r="AA39">
        <f t="shared" si="7"/>
        <v>0.0280106666666667</v>
      </c>
    </row>
    <row r="40" ht="30" customHeight="1" spans="1:27">
      <c r="A40" s="5">
        <v>41</v>
      </c>
      <c r="B40" s="5" t="s">
        <v>25</v>
      </c>
      <c r="C40" s="5"/>
      <c r="D40" s="5">
        <f t="shared" si="8"/>
        <v>41</v>
      </c>
      <c r="E40" s="5" t="s">
        <v>26</v>
      </c>
      <c r="F40" s="6" t="s">
        <v>125</v>
      </c>
      <c r="G40" s="9" t="s">
        <v>122</v>
      </c>
      <c r="H40" s="9" t="s">
        <v>126</v>
      </c>
      <c r="I40" s="9" t="s">
        <v>114</v>
      </c>
      <c r="J40" s="9"/>
      <c r="K40" s="9" t="s">
        <v>31</v>
      </c>
      <c r="L40" s="9" t="s">
        <v>60</v>
      </c>
      <c r="M40" s="9" t="s">
        <v>118</v>
      </c>
      <c r="N40" s="13" t="s">
        <v>53</v>
      </c>
      <c r="O40" s="5">
        <v>41</v>
      </c>
      <c r="P40" s="5" t="s">
        <v>26</v>
      </c>
      <c r="Q40" s="5"/>
      <c r="R40" s="17"/>
      <c r="S40" s="17"/>
      <c r="T40" s="18">
        <v>17.9555555555556</v>
      </c>
      <c r="U40" s="18">
        <v>736.177777777778</v>
      </c>
      <c r="V40" s="16"/>
      <c r="W40">
        <f t="shared" si="1"/>
        <v>22.4444444444445</v>
      </c>
      <c r="X40">
        <f t="shared" si="2"/>
        <v>920.222222222224</v>
      </c>
      <c r="Y40">
        <f t="shared" si="3"/>
        <v>3.18360914105596</v>
      </c>
      <c r="Z40">
        <f t="shared" si="4"/>
        <v>130.527974783294</v>
      </c>
      <c r="AA40">
        <f t="shared" si="7"/>
        <v>0.0294471111111111</v>
      </c>
    </row>
    <row r="41" ht="30" customHeight="1" spans="1:27">
      <c r="A41" s="5">
        <v>18</v>
      </c>
      <c r="B41" s="5" t="s">
        <v>25</v>
      </c>
      <c r="C41" s="5"/>
      <c r="D41" s="5">
        <f t="shared" si="8"/>
        <v>18</v>
      </c>
      <c r="E41" s="5" t="s">
        <v>26</v>
      </c>
      <c r="F41" s="6" t="s">
        <v>127</v>
      </c>
      <c r="G41" s="9" t="s">
        <v>122</v>
      </c>
      <c r="H41" s="9" t="s">
        <v>103</v>
      </c>
      <c r="I41" s="9" t="s">
        <v>104</v>
      </c>
      <c r="J41" s="9"/>
      <c r="K41" s="9" t="s">
        <v>31</v>
      </c>
      <c r="L41" s="9" t="s">
        <v>60</v>
      </c>
      <c r="M41" s="9" t="s">
        <v>118</v>
      </c>
      <c r="N41" s="13" t="s">
        <v>53</v>
      </c>
      <c r="O41" s="5">
        <v>18</v>
      </c>
      <c r="P41" s="5" t="s">
        <v>26</v>
      </c>
      <c r="Q41" s="5"/>
      <c r="R41" s="17"/>
      <c r="S41" s="17"/>
      <c r="T41" s="18">
        <v>25.8111111111111</v>
      </c>
      <c r="U41" s="18">
        <v>464.6</v>
      </c>
      <c r="V41" s="16"/>
      <c r="W41">
        <f t="shared" si="1"/>
        <v>32.2638888888889</v>
      </c>
      <c r="X41">
        <f t="shared" si="2"/>
        <v>580.75</v>
      </c>
      <c r="Y41">
        <f t="shared" si="3"/>
        <v>4.57643814026792</v>
      </c>
      <c r="Z41">
        <f t="shared" si="4"/>
        <v>82.3758865248226</v>
      </c>
      <c r="AA41">
        <f t="shared" si="7"/>
        <v>0.018584</v>
      </c>
    </row>
    <row r="42" ht="54" spans="1:27">
      <c r="A42" s="5">
        <v>45</v>
      </c>
      <c r="B42" s="5" t="s">
        <v>25</v>
      </c>
      <c r="C42" s="5"/>
      <c r="D42" s="5">
        <f t="shared" si="8"/>
        <v>45</v>
      </c>
      <c r="E42" s="5" t="s">
        <v>26</v>
      </c>
      <c r="F42" s="6" t="s">
        <v>128</v>
      </c>
      <c r="G42" s="9" t="s">
        <v>122</v>
      </c>
      <c r="H42" s="9" t="s">
        <v>107</v>
      </c>
      <c r="I42" s="9" t="s">
        <v>108</v>
      </c>
      <c r="J42" s="9"/>
      <c r="K42" s="9" t="s">
        <v>31</v>
      </c>
      <c r="L42" s="9" t="s">
        <v>60</v>
      </c>
      <c r="M42" s="9" t="s">
        <v>118</v>
      </c>
      <c r="N42" s="13" t="s">
        <v>53</v>
      </c>
      <c r="O42" s="5">
        <v>45</v>
      </c>
      <c r="P42" s="5" t="s">
        <v>26</v>
      </c>
      <c r="Q42" s="5"/>
      <c r="R42" s="17"/>
      <c r="S42" s="17"/>
      <c r="T42" s="18">
        <v>25.8111111111111</v>
      </c>
      <c r="U42" s="18">
        <v>1161.5</v>
      </c>
      <c r="V42" s="16"/>
      <c r="W42">
        <f t="shared" si="1"/>
        <v>32.2638888888889</v>
      </c>
      <c r="X42">
        <f t="shared" si="2"/>
        <v>1451.875</v>
      </c>
      <c r="Y42">
        <f t="shared" si="3"/>
        <v>4.57643814026792</v>
      </c>
      <c r="Z42">
        <f t="shared" si="4"/>
        <v>205.939716312057</v>
      </c>
      <c r="AA42">
        <f t="shared" si="7"/>
        <v>0.04646</v>
      </c>
    </row>
    <row r="43" ht="54" spans="1:27">
      <c r="A43" s="5">
        <v>3</v>
      </c>
      <c r="B43" s="5" t="s">
        <v>25</v>
      </c>
      <c r="C43" s="5"/>
      <c r="D43" s="5">
        <f t="shared" si="8"/>
        <v>3</v>
      </c>
      <c r="E43" s="5" t="s">
        <v>26</v>
      </c>
      <c r="F43" s="6" t="s">
        <v>129</v>
      </c>
      <c r="G43" s="9" t="s">
        <v>122</v>
      </c>
      <c r="H43" s="9" t="s">
        <v>130</v>
      </c>
      <c r="I43" s="9" t="s">
        <v>131</v>
      </c>
      <c r="J43" s="9"/>
      <c r="K43" s="9" t="s">
        <v>31</v>
      </c>
      <c r="L43" s="9" t="s">
        <v>60</v>
      </c>
      <c r="M43" s="9" t="s">
        <v>118</v>
      </c>
      <c r="N43" s="13" t="s">
        <v>53</v>
      </c>
      <c r="O43" s="5">
        <v>3</v>
      </c>
      <c r="P43" s="5" t="s">
        <v>26</v>
      </c>
      <c r="Q43" s="5"/>
      <c r="R43" s="17"/>
      <c r="S43" s="17"/>
      <c r="T43" s="18">
        <v>810.244444444444</v>
      </c>
      <c r="U43" s="18">
        <v>2430.73333333333</v>
      </c>
      <c r="V43" s="16"/>
      <c r="W43">
        <f t="shared" si="1"/>
        <v>1012.80555555555</v>
      </c>
      <c r="X43">
        <f t="shared" si="2"/>
        <v>3038.41666666667</v>
      </c>
      <c r="Y43">
        <f t="shared" si="3"/>
        <v>143.66036249015</v>
      </c>
      <c r="Z43">
        <f t="shared" si="4"/>
        <v>430.981087470449</v>
      </c>
      <c r="AA43">
        <f t="shared" si="7"/>
        <v>0.0972293333333332</v>
      </c>
    </row>
    <row r="44" ht="54" spans="1:27">
      <c r="A44" s="5">
        <v>1</v>
      </c>
      <c r="B44" s="5" t="s">
        <v>25</v>
      </c>
      <c r="C44" s="5"/>
      <c r="D44" s="5">
        <f t="shared" si="8"/>
        <v>1</v>
      </c>
      <c r="E44" s="5" t="s">
        <v>26</v>
      </c>
      <c r="F44" s="6" t="s">
        <v>132</v>
      </c>
      <c r="G44" s="9" t="s">
        <v>122</v>
      </c>
      <c r="H44" s="9" t="s">
        <v>133</v>
      </c>
      <c r="I44" s="9" t="s">
        <v>134</v>
      </c>
      <c r="J44" s="9"/>
      <c r="K44" s="9" t="s">
        <v>31</v>
      </c>
      <c r="L44" s="9" t="s">
        <v>60</v>
      </c>
      <c r="M44" s="9" t="s">
        <v>118</v>
      </c>
      <c r="N44" s="13" t="s">
        <v>53</v>
      </c>
      <c r="O44" s="5">
        <v>1</v>
      </c>
      <c r="P44" s="5" t="s">
        <v>26</v>
      </c>
      <c r="Q44" s="5"/>
      <c r="R44" s="17"/>
      <c r="S44" s="17"/>
      <c r="T44" s="18">
        <v>643.033333333333</v>
      </c>
      <c r="U44" s="18">
        <v>643.033333333333</v>
      </c>
      <c r="V44" s="16"/>
      <c r="W44">
        <f t="shared" si="1"/>
        <v>803.791666666666</v>
      </c>
      <c r="X44">
        <f t="shared" si="2"/>
        <v>803.791666666666</v>
      </c>
      <c r="Y44">
        <f t="shared" si="3"/>
        <v>114.013002364066</v>
      </c>
      <c r="Z44">
        <f t="shared" si="4"/>
        <v>114.013002364066</v>
      </c>
      <c r="AA44">
        <f t="shared" si="7"/>
        <v>0.0257213333333333</v>
      </c>
    </row>
    <row r="45" ht="54" spans="1:27">
      <c r="A45" s="5">
        <v>19</v>
      </c>
      <c r="B45" s="5" t="s">
        <v>25</v>
      </c>
      <c r="C45" s="5"/>
      <c r="D45" s="5">
        <f t="shared" si="8"/>
        <v>19</v>
      </c>
      <c r="E45" s="5" t="s">
        <v>26</v>
      </c>
      <c r="F45" s="6" t="s">
        <v>135</v>
      </c>
      <c r="G45" s="9" t="s">
        <v>122</v>
      </c>
      <c r="H45" s="9" t="s">
        <v>136</v>
      </c>
      <c r="I45" s="9" t="s">
        <v>137</v>
      </c>
      <c r="J45" s="9"/>
      <c r="K45" s="9" t="s">
        <v>31</v>
      </c>
      <c r="L45" s="9" t="s">
        <v>60</v>
      </c>
      <c r="M45" s="9" t="s">
        <v>118</v>
      </c>
      <c r="N45" s="13" t="s">
        <v>53</v>
      </c>
      <c r="O45" s="5">
        <v>19</v>
      </c>
      <c r="P45" s="5" t="s">
        <v>26</v>
      </c>
      <c r="Q45" s="5"/>
      <c r="R45" s="17"/>
      <c r="S45" s="17"/>
      <c r="T45" s="18">
        <v>33.6666666666667</v>
      </c>
      <c r="U45" s="18">
        <v>639.666666666667</v>
      </c>
      <c r="V45" s="16"/>
      <c r="W45">
        <f t="shared" si="1"/>
        <v>42.0833333333334</v>
      </c>
      <c r="X45">
        <f t="shared" si="2"/>
        <v>799.583333333334</v>
      </c>
      <c r="Y45">
        <f t="shared" si="3"/>
        <v>5.96926713947991</v>
      </c>
      <c r="Z45">
        <f t="shared" si="4"/>
        <v>113.416075650118</v>
      </c>
      <c r="AA45">
        <f t="shared" si="7"/>
        <v>0.0255866666666667</v>
      </c>
    </row>
    <row r="46" ht="54" spans="1:27">
      <c r="A46" s="5">
        <v>1</v>
      </c>
      <c r="B46" s="5" t="s">
        <v>25</v>
      </c>
      <c r="C46" s="5"/>
      <c r="D46" s="5">
        <f t="shared" si="8"/>
        <v>1</v>
      </c>
      <c r="E46" s="5" t="s">
        <v>26</v>
      </c>
      <c r="F46" s="6" t="s">
        <v>138</v>
      </c>
      <c r="G46" s="9" t="s">
        <v>122</v>
      </c>
      <c r="H46" s="9" t="s">
        <v>110</v>
      </c>
      <c r="I46" s="9" t="s">
        <v>111</v>
      </c>
      <c r="J46" s="9"/>
      <c r="K46" s="9" t="s">
        <v>31</v>
      </c>
      <c r="L46" s="9" t="s">
        <v>60</v>
      </c>
      <c r="M46" s="9" t="s">
        <v>118</v>
      </c>
      <c r="N46" s="13" t="s">
        <v>53</v>
      </c>
      <c r="O46" s="5">
        <v>1</v>
      </c>
      <c r="P46" s="5" t="s">
        <v>26</v>
      </c>
      <c r="Q46" s="5"/>
      <c r="R46" s="17"/>
      <c r="S46" s="17"/>
      <c r="T46" s="18">
        <v>80.8</v>
      </c>
      <c r="U46" s="18">
        <v>80.8</v>
      </c>
      <c r="V46" s="16"/>
      <c r="W46">
        <f t="shared" si="1"/>
        <v>101</v>
      </c>
      <c r="X46">
        <f t="shared" si="2"/>
        <v>101</v>
      </c>
      <c r="Y46">
        <f t="shared" si="3"/>
        <v>14.3262411347518</v>
      </c>
      <c r="Z46">
        <f t="shared" si="4"/>
        <v>14.3262411347518</v>
      </c>
      <c r="AA46">
        <f t="shared" si="7"/>
        <v>0.003232</v>
      </c>
    </row>
    <row r="47" ht="54" spans="1:27">
      <c r="A47" s="5">
        <v>3</v>
      </c>
      <c r="B47" s="5" t="s">
        <v>25</v>
      </c>
      <c r="C47" s="5"/>
      <c r="D47" s="5">
        <f t="shared" si="8"/>
        <v>3</v>
      </c>
      <c r="E47" s="5" t="s">
        <v>26</v>
      </c>
      <c r="F47" s="6" t="s">
        <v>139</v>
      </c>
      <c r="G47" s="9" t="s">
        <v>122</v>
      </c>
      <c r="H47" s="9" t="s">
        <v>140</v>
      </c>
      <c r="I47" s="9" t="s">
        <v>111</v>
      </c>
      <c r="J47" s="9"/>
      <c r="K47" s="9" t="s">
        <v>31</v>
      </c>
      <c r="L47" s="9" t="s">
        <v>60</v>
      </c>
      <c r="M47" s="9" t="s">
        <v>118</v>
      </c>
      <c r="N47" s="13" t="s">
        <v>53</v>
      </c>
      <c r="O47" s="5">
        <v>3</v>
      </c>
      <c r="P47" s="5" t="s">
        <v>26</v>
      </c>
      <c r="Q47" s="5"/>
      <c r="R47" s="17"/>
      <c r="S47" s="17"/>
      <c r="T47" s="18">
        <v>63.9666666666667</v>
      </c>
      <c r="U47" s="18">
        <v>191.9</v>
      </c>
      <c r="V47" s="16"/>
      <c r="W47">
        <f t="shared" si="1"/>
        <v>79.9583333333334</v>
      </c>
      <c r="X47">
        <f t="shared" si="2"/>
        <v>239.875</v>
      </c>
      <c r="Y47">
        <f t="shared" si="3"/>
        <v>11.3416075650118</v>
      </c>
      <c r="Z47">
        <f t="shared" si="4"/>
        <v>34.0248226950355</v>
      </c>
      <c r="AA47">
        <f t="shared" si="7"/>
        <v>0.007676</v>
      </c>
    </row>
    <row r="48" ht="54" spans="1:27">
      <c r="A48" s="5">
        <v>26</v>
      </c>
      <c r="B48" s="5" t="s">
        <v>25</v>
      </c>
      <c r="C48" s="5"/>
      <c r="D48" s="5">
        <f t="shared" si="8"/>
        <v>26</v>
      </c>
      <c r="E48" s="5" t="s">
        <v>26</v>
      </c>
      <c r="F48" s="6" t="s">
        <v>141</v>
      </c>
      <c r="G48" s="9" t="s">
        <v>39</v>
      </c>
      <c r="H48" s="9" t="s">
        <v>69</v>
      </c>
      <c r="I48" s="9" t="s">
        <v>64</v>
      </c>
      <c r="J48" s="9"/>
      <c r="K48" s="9" t="s">
        <v>31</v>
      </c>
      <c r="L48" s="9" t="s">
        <v>60</v>
      </c>
      <c r="M48" s="9" t="s">
        <v>142</v>
      </c>
      <c r="N48" s="13" t="s">
        <v>53</v>
      </c>
      <c r="O48" s="5">
        <v>26</v>
      </c>
      <c r="P48" s="5" t="s">
        <v>26</v>
      </c>
      <c r="Q48" s="5"/>
      <c r="R48" s="17"/>
      <c r="S48" s="17"/>
      <c r="T48" s="18">
        <v>22.4444444444444</v>
      </c>
      <c r="U48" s="18">
        <v>583.555555555556</v>
      </c>
      <c r="V48" s="16"/>
      <c r="W48">
        <f t="shared" si="1"/>
        <v>28.0555555555555</v>
      </c>
      <c r="X48">
        <f t="shared" si="2"/>
        <v>729.444444444443</v>
      </c>
      <c r="Y48">
        <f t="shared" si="3"/>
        <v>3.97951142631993</v>
      </c>
      <c r="Z48">
        <f t="shared" si="4"/>
        <v>103.467297084318</v>
      </c>
      <c r="AA48">
        <f t="shared" si="7"/>
        <v>0.0233422222222222</v>
      </c>
    </row>
    <row r="49" ht="54" spans="1:27">
      <c r="A49" s="5">
        <v>6</v>
      </c>
      <c r="B49" s="5" t="s">
        <v>25</v>
      </c>
      <c r="C49" s="5"/>
      <c r="D49" s="5">
        <f t="shared" si="8"/>
        <v>6</v>
      </c>
      <c r="E49" s="5" t="s">
        <v>26</v>
      </c>
      <c r="F49" s="6" t="s">
        <v>143</v>
      </c>
      <c r="G49" s="9" t="s">
        <v>39</v>
      </c>
      <c r="H49" s="9" t="s">
        <v>50</v>
      </c>
      <c r="I49" s="9" t="s">
        <v>51</v>
      </c>
      <c r="J49" s="9"/>
      <c r="K49" s="9" t="s">
        <v>31</v>
      </c>
      <c r="L49" s="9" t="s">
        <v>60</v>
      </c>
      <c r="M49" s="9" t="s">
        <v>142</v>
      </c>
      <c r="N49" s="13" t="s">
        <v>53</v>
      </c>
      <c r="O49" s="5">
        <v>6</v>
      </c>
      <c r="P49" s="5" t="s">
        <v>26</v>
      </c>
      <c r="Q49" s="5"/>
      <c r="R49" s="17"/>
      <c r="S49" s="17"/>
      <c r="T49" s="18">
        <v>1447.66666666667</v>
      </c>
      <c r="U49" s="18">
        <v>8686</v>
      </c>
      <c r="V49" s="16" t="s">
        <v>81</v>
      </c>
      <c r="W49">
        <f t="shared" si="1"/>
        <v>1809.58333333334</v>
      </c>
      <c r="X49">
        <f t="shared" si="2"/>
        <v>10857.5</v>
      </c>
      <c r="Y49">
        <f t="shared" si="3"/>
        <v>256.678486997637</v>
      </c>
      <c r="Z49">
        <f t="shared" si="4"/>
        <v>1540.07092198582</v>
      </c>
      <c r="AA49">
        <f t="shared" si="7"/>
        <v>0.34744</v>
      </c>
    </row>
    <row r="50" ht="54" spans="1:27">
      <c r="A50" s="5">
        <v>165</v>
      </c>
      <c r="B50" s="5" t="s">
        <v>25</v>
      </c>
      <c r="C50" s="5"/>
      <c r="D50" s="5">
        <f t="shared" si="8"/>
        <v>165</v>
      </c>
      <c r="E50" s="5" t="s">
        <v>26</v>
      </c>
      <c r="F50" s="6" t="s">
        <v>144</v>
      </c>
      <c r="G50" s="9" t="s">
        <v>39</v>
      </c>
      <c r="H50" s="9" t="s">
        <v>29</v>
      </c>
      <c r="I50" s="9" t="s">
        <v>55</v>
      </c>
      <c r="J50" s="9"/>
      <c r="K50" s="9" t="s">
        <v>31</v>
      </c>
      <c r="L50" s="9" t="s">
        <v>60</v>
      </c>
      <c r="M50" s="9" t="s">
        <v>142</v>
      </c>
      <c r="N50" s="13" t="s">
        <v>53</v>
      </c>
      <c r="O50" s="5">
        <v>165</v>
      </c>
      <c r="P50" s="5" t="s">
        <v>26</v>
      </c>
      <c r="Q50" s="5"/>
      <c r="R50" s="17"/>
      <c r="S50" s="17"/>
      <c r="T50" s="18">
        <v>57.2333333333333</v>
      </c>
      <c r="U50" s="18">
        <v>9443.5</v>
      </c>
      <c r="V50" s="16"/>
      <c r="W50">
        <f t="shared" si="1"/>
        <v>71.5416666666666</v>
      </c>
      <c r="X50">
        <f t="shared" si="2"/>
        <v>11804.375</v>
      </c>
      <c r="Y50">
        <f t="shared" si="3"/>
        <v>10.1477541371158</v>
      </c>
      <c r="Z50">
        <f t="shared" si="4"/>
        <v>1674.37943262411</v>
      </c>
      <c r="AA50">
        <f t="shared" si="7"/>
        <v>0.37774</v>
      </c>
    </row>
    <row r="51" ht="54" spans="1:27">
      <c r="A51" s="5">
        <v>58</v>
      </c>
      <c r="B51" s="5" t="s">
        <v>25</v>
      </c>
      <c r="C51" s="5"/>
      <c r="D51" s="5">
        <f t="shared" si="8"/>
        <v>58</v>
      </c>
      <c r="E51" s="5" t="s">
        <v>26</v>
      </c>
      <c r="F51" s="6" t="s">
        <v>145</v>
      </c>
      <c r="G51" s="9" t="s">
        <v>39</v>
      </c>
      <c r="H51" s="9" t="s">
        <v>57</v>
      </c>
      <c r="I51" s="9" t="s">
        <v>55</v>
      </c>
      <c r="J51" s="9"/>
      <c r="K51" s="9" t="s">
        <v>31</v>
      </c>
      <c r="L51" s="9" t="s">
        <v>60</v>
      </c>
      <c r="M51" s="9" t="s">
        <v>142</v>
      </c>
      <c r="N51" s="13" t="s">
        <v>53</v>
      </c>
      <c r="O51" s="5">
        <v>58</v>
      </c>
      <c r="P51" s="5" t="s">
        <v>26</v>
      </c>
      <c r="Q51" s="5"/>
      <c r="R51" s="17"/>
      <c r="S51" s="17"/>
      <c r="T51" s="18">
        <v>112.222222222222</v>
      </c>
      <c r="U51" s="18">
        <v>6508.88888888889</v>
      </c>
      <c r="V51" s="16"/>
      <c r="W51">
        <f t="shared" si="1"/>
        <v>140.277777777777</v>
      </c>
      <c r="X51">
        <f t="shared" si="2"/>
        <v>8136.11111111109</v>
      </c>
      <c r="Y51">
        <f t="shared" si="3"/>
        <v>19.8975571315996</v>
      </c>
      <c r="Z51">
        <f t="shared" si="4"/>
        <v>1154.05831363278</v>
      </c>
      <c r="AA51">
        <f t="shared" si="7"/>
        <v>0.260355555555556</v>
      </c>
    </row>
    <row r="52" ht="54" spans="1:27">
      <c r="A52" s="5">
        <v>38</v>
      </c>
      <c r="B52" s="5" t="s">
        <v>25</v>
      </c>
      <c r="C52" s="5"/>
      <c r="D52" s="5">
        <f t="shared" si="8"/>
        <v>38</v>
      </c>
      <c r="E52" s="5" t="s">
        <v>26</v>
      </c>
      <c r="F52" s="6" t="s">
        <v>146</v>
      </c>
      <c r="G52" s="9" t="s">
        <v>39</v>
      </c>
      <c r="H52" s="9" t="s">
        <v>59</v>
      </c>
      <c r="I52" s="9" t="s">
        <v>55</v>
      </c>
      <c r="J52" s="9"/>
      <c r="K52" s="9" t="s">
        <v>31</v>
      </c>
      <c r="L52" s="9" t="s">
        <v>60</v>
      </c>
      <c r="M52" s="9" t="s">
        <v>142</v>
      </c>
      <c r="N52" s="13" t="s">
        <v>53</v>
      </c>
      <c r="O52" s="5">
        <v>38</v>
      </c>
      <c r="P52" s="5" t="s">
        <v>26</v>
      </c>
      <c r="Q52" s="5"/>
      <c r="R52" s="17"/>
      <c r="S52" s="17"/>
      <c r="T52" s="18">
        <v>172.822222222222</v>
      </c>
      <c r="U52" s="18">
        <v>6567.24444444444</v>
      </c>
      <c r="V52" s="16"/>
      <c r="W52">
        <f t="shared" si="1"/>
        <v>216.027777777777</v>
      </c>
      <c r="X52">
        <f t="shared" si="2"/>
        <v>8209.05555555554</v>
      </c>
      <c r="Y52">
        <f t="shared" si="3"/>
        <v>30.6422379826635</v>
      </c>
      <c r="Z52">
        <f t="shared" si="4"/>
        <v>1164.40504334121</v>
      </c>
      <c r="AA52">
        <f t="shared" si="7"/>
        <v>0.262689777777778</v>
      </c>
    </row>
    <row r="53" ht="54" spans="1:27">
      <c r="A53" s="5">
        <v>13</v>
      </c>
      <c r="B53" s="5" t="s">
        <v>25</v>
      </c>
      <c r="C53" s="5"/>
      <c r="D53" s="5">
        <f t="shared" si="8"/>
        <v>13</v>
      </c>
      <c r="E53" s="5" t="s">
        <v>26</v>
      </c>
      <c r="F53" s="6" t="s">
        <v>147</v>
      </c>
      <c r="G53" s="9" t="s">
        <v>39</v>
      </c>
      <c r="H53" s="9" t="s">
        <v>63</v>
      </c>
      <c r="I53" s="9" t="s">
        <v>64</v>
      </c>
      <c r="J53" s="9"/>
      <c r="K53" s="9" t="s">
        <v>31</v>
      </c>
      <c r="L53" s="9" t="s">
        <v>60</v>
      </c>
      <c r="M53" s="9" t="s">
        <v>142</v>
      </c>
      <c r="N53" s="13" t="s">
        <v>53</v>
      </c>
      <c r="O53" s="5">
        <v>13</v>
      </c>
      <c r="P53" s="5" t="s">
        <v>26</v>
      </c>
      <c r="Q53" s="5"/>
      <c r="R53" s="17"/>
      <c r="S53" s="17"/>
      <c r="T53" s="18">
        <v>374.822222222222</v>
      </c>
      <c r="U53" s="18">
        <v>4872.68888888889</v>
      </c>
      <c r="V53" s="16"/>
      <c r="W53">
        <f t="shared" si="1"/>
        <v>468.527777777778</v>
      </c>
      <c r="X53">
        <f t="shared" si="2"/>
        <v>6090.86111111111</v>
      </c>
      <c r="Y53">
        <f t="shared" si="3"/>
        <v>66.4578408195429</v>
      </c>
      <c r="Z53">
        <f t="shared" si="4"/>
        <v>863.951930654058</v>
      </c>
      <c r="AA53">
        <f t="shared" si="7"/>
        <v>0.194907555555556</v>
      </c>
    </row>
    <row r="54" ht="54" spans="1:27">
      <c r="A54" s="5">
        <v>10</v>
      </c>
      <c r="B54" s="5" t="s">
        <v>25</v>
      </c>
      <c r="C54" s="5"/>
      <c r="D54" s="5">
        <f t="shared" si="8"/>
        <v>10</v>
      </c>
      <c r="E54" s="5" t="s">
        <v>26</v>
      </c>
      <c r="F54" s="6" t="s">
        <v>148</v>
      </c>
      <c r="G54" s="9" t="s">
        <v>39</v>
      </c>
      <c r="H54" s="9" t="s">
        <v>66</v>
      </c>
      <c r="I54" s="9" t="s">
        <v>67</v>
      </c>
      <c r="J54" s="9"/>
      <c r="K54" s="9" t="s">
        <v>31</v>
      </c>
      <c r="L54" s="9" t="s">
        <v>60</v>
      </c>
      <c r="M54" s="9" t="s">
        <v>142</v>
      </c>
      <c r="N54" s="13" t="s">
        <v>53</v>
      </c>
      <c r="O54" s="5">
        <v>10</v>
      </c>
      <c r="P54" s="5" t="s">
        <v>26</v>
      </c>
      <c r="Q54" s="5"/>
      <c r="R54" s="17"/>
      <c r="S54" s="17"/>
      <c r="T54" s="18">
        <v>669.966666666667</v>
      </c>
      <c r="U54" s="18">
        <v>6699.66666666667</v>
      </c>
      <c r="V54" s="16"/>
      <c r="W54">
        <f t="shared" si="1"/>
        <v>837.458333333334</v>
      </c>
      <c r="X54">
        <f t="shared" si="2"/>
        <v>8374.58333333334</v>
      </c>
      <c r="Y54">
        <f t="shared" si="3"/>
        <v>118.78841607565</v>
      </c>
      <c r="Z54">
        <f t="shared" si="4"/>
        <v>1187.8841607565</v>
      </c>
      <c r="AA54">
        <f t="shared" si="7"/>
        <v>0.267986666666667</v>
      </c>
    </row>
    <row r="55" ht="69.6" spans="1:27">
      <c r="A55" s="5">
        <v>2</v>
      </c>
      <c r="B55" s="5" t="s">
        <v>25</v>
      </c>
      <c r="C55" s="5"/>
      <c r="D55" s="5">
        <f t="shared" ref="D55:D99" si="9">A55</f>
        <v>2</v>
      </c>
      <c r="E55" s="5" t="s">
        <v>26</v>
      </c>
      <c r="F55" s="6" t="s">
        <v>149</v>
      </c>
      <c r="G55" s="9" t="s">
        <v>150</v>
      </c>
      <c r="H55" s="9" t="s">
        <v>130</v>
      </c>
      <c r="I55" s="9" t="s">
        <v>131</v>
      </c>
      <c r="J55" s="9"/>
      <c r="K55" s="9" t="s">
        <v>31</v>
      </c>
      <c r="L55" s="9" t="s">
        <v>60</v>
      </c>
      <c r="M55" s="9" t="s">
        <v>151</v>
      </c>
      <c r="N55" s="13" t="s">
        <v>53</v>
      </c>
      <c r="O55" s="5">
        <v>2</v>
      </c>
      <c r="P55" s="5" t="s">
        <v>26</v>
      </c>
      <c r="Q55" s="19"/>
      <c r="R55" s="17"/>
      <c r="S55" s="17"/>
      <c r="T55" s="18">
        <v>1422.97777777778</v>
      </c>
      <c r="U55" s="18">
        <v>2845.95555555556</v>
      </c>
      <c r="V55" s="16" t="s">
        <v>81</v>
      </c>
      <c r="W55">
        <f t="shared" si="1"/>
        <v>1778.72222222222</v>
      </c>
      <c r="X55">
        <f t="shared" si="2"/>
        <v>3557.44444444445</v>
      </c>
      <c r="Y55">
        <f t="shared" si="3"/>
        <v>252.301024428684</v>
      </c>
      <c r="Z55">
        <f t="shared" si="4"/>
        <v>504.602048857369</v>
      </c>
      <c r="AA55">
        <f t="shared" si="7"/>
        <v>0.113838222222222</v>
      </c>
    </row>
    <row r="56" ht="69.6" spans="1:27">
      <c r="A56" s="5">
        <v>44</v>
      </c>
      <c r="B56" s="5" t="s">
        <v>25</v>
      </c>
      <c r="C56" s="5"/>
      <c r="D56" s="5">
        <f t="shared" si="9"/>
        <v>44</v>
      </c>
      <c r="E56" s="5" t="s">
        <v>26</v>
      </c>
      <c r="F56" s="6" t="s">
        <v>152</v>
      </c>
      <c r="G56" s="9" t="s">
        <v>150</v>
      </c>
      <c r="H56" s="9" t="s">
        <v>136</v>
      </c>
      <c r="I56" s="9" t="s">
        <v>137</v>
      </c>
      <c r="J56" s="9"/>
      <c r="K56" s="9" t="s">
        <v>31</v>
      </c>
      <c r="L56" s="9" t="s">
        <v>60</v>
      </c>
      <c r="M56" s="9" t="s">
        <v>151</v>
      </c>
      <c r="N56" s="13" t="s">
        <v>53</v>
      </c>
      <c r="O56" s="5">
        <v>44</v>
      </c>
      <c r="P56" s="5" t="s">
        <v>26</v>
      </c>
      <c r="Q56" s="19"/>
      <c r="R56" s="17"/>
      <c r="S56" s="17"/>
      <c r="T56" s="18">
        <v>53.8666666666667</v>
      </c>
      <c r="U56" s="18">
        <v>2370.13333333333</v>
      </c>
      <c r="V56" s="16"/>
      <c r="W56">
        <f t="shared" si="1"/>
        <v>67.3333333333334</v>
      </c>
      <c r="X56">
        <f t="shared" si="2"/>
        <v>2962.66666666667</v>
      </c>
      <c r="Y56">
        <f t="shared" si="3"/>
        <v>9.55082742316785</v>
      </c>
      <c r="Z56">
        <f t="shared" si="4"/>
        <v>420.236406619386</v>
      </c>
      <c r="AA56">
        <f t="shared" si="7"/>
        <v>0.0948053333333332</v>
      </c>
    </row>
    <row r="57" ht="69.6" spans="1:27">
      <c r="A57" s="5">
        <v>11</v>
      </c>
      <c r="B57" s="5" t="s">
        <v>25</v>
      </c>
      <c r="C57" s="5"/>
      <c r="D57" s="5">
        <f t="shared" si="9"/>
        <v>11</v>
      </c>
      <c r="E57" s="5" t="s">
        <v>26</v>
      </c>
      <c r="F57" s="6" t="s">
        <v>153</v>
      </c>
      <c r="G57" s="9" t="s">
        <v>150</v>
      </c>
      <c r="H57" s="9" t="s">
        <v>107</v>
      </c>
      <c r="I57" s="9" t="s">
        <v>108</v>
      </c>
      <c r="J57" s="9"/>
      <c r="K57" s="9" t="s">
        <v>31</v>
      </c>
      <c r="L57" s="9" t="s">
        <v>60</v>
      </c>
      <c r="M57" s="9" t="s">
        <v>151</v>
      </c>
      <c r="N57" s="13" t="s">
        <v>53</v>
      </c>
      <c r="O57" s="5">
        <v>11</v>
      </c>
      <c r="P57" s="5" t="s">
        <v>26</v>
      </c>
      <c r="Q57" s="19"/>
      <c r="R57" s="17"/>
      <c r="S57" s="17"/>
      <c r="T57" s="18">
        <v>54.9888888888889</v>
      </c>
      <c r="U57" s="18">
        <v>604.877777777778</v>
      </c>
      <c r="V57" s="16"/>
      <c r="W57">
        <f t="shared" si="1"/>
        <v>68.7361111111111</v>
      </c>
      <c r="X57">
        <f t="shared" si="2"/>
        <v>756.097222222222</v>
      </c>
      <c r="Y57">
        <f t="shared" si="3"/>
        <v>9.74980299448385</v>
      </c>
      <c r="Z57">
        <f t="shared" si="4"/>
        <v>107.247832939322</v>
      </c>
      <c r="AA57">
        <f t="shared" si="7"/>
        <v>0.0241951111111111</v>
      </c>
    </row>
    <row r="58" ht="69.6" spans="1:27">
      <c r="A58" s="5">
        <v>137</v>
      </c>
      <c r="B58" s="5" t="s">
        <v>25</v>
      </c>
      <c r="C58" s="5"/>
      <c r="D58" s="5">
        <f t="shared" si="9"/>
        <v>137</v>
      </c>
      <c r="E58" s="5" t="s">
        <v>26</v>
      </c>
      <c r="F58" s="6" t="s">
        <v>154</v>
      </c>
      <c r="G58" s="9" t="s">
        <v>150</v>
      </c>
      <c r="H58" s="9" t="s">
        <v>155</v>
      </c>
      <c r="I58" s="9" t="s">
        <v>111</v>
      </c>
      <c r="J58" s="9"/>
      <c r="K58" s="9" t="s">
        <v>31</v>
      </c>
      <c r="L58" s="9" t="s">
        <v>60</v>
      </c>
      <c r="M58" s="9" t="s">
        <v>151</v>
      </c>
      <c r="N58" s="13" t="s">
        <v>53</v>
      </c>
      <c r="O58" s="5">
        <v>137</v>
      </c>
      <c r="P58" s="5" t="s">
        <v>26</v>
      </c>
      <c r="Q58" s="19"/>
      <c r="R58" s="17"/>
      <c r="S58" s="17"/>
      <c r="T58" s="18">
        <v>107.733333333333</v>
      </c>
      <c r="U58" s="18">
        <v>14759.4666666667</v>
      </c>
      <c r="V58" s="16"/>
      <c r="W58">
        <f t="shared" si="1"/>
        <v>134.666666666666</v>
      </c>
      <c r="X58">
        <f t="shared" si="2"/>
        <v>18449.3333333333</v>
      </c>
      <c r="Y58">
        <f t="shared" si="3"/>
        <v>19.1016548463356</v>
      </c>
      <c r="Z58">
        <f t="shared" si="4"/>
        <v>2616.92671394798</v>
      </c>
      <c r="AA58">
        <f t="shared" si="7"/>
        <v>0.590378666666668</v>
      </c>
    </row>
    <row r="59" ht="69.6" spans="1:27">
      <c r="A59" s="5">
        <v>37</v>
      </c>
      <c r="B59" s="5" t="s">
        <v>25</v>
      </c>
      <c r="C59" s="5"/>
      <c r="D59" s="5">
        <f t="shared" si="9"/>
        <v>37</v>
      </c>
      <c r="E59" s="5" t="s">
        <v>26</v>
      </c>
      <c r="F59" s="6" t="s">
        <v>156</v>
      </c>
      <c r="G59" s="9" t="s">
        <v>150</v>
      </c>
      <c r="H59" s="9" t="s">
        <v>110</v>
      </c>
      <c r="I59" s="9" t="s">
        <v>111</v>
      </c>
      <c r="J59" s="9"/>
      <c r="K59" s="9" t="s">
        <v>31</v>
      </c>
      <c r="L59" s="9" t="s">
        <v>60</v>
      </c>
      <c r="M59" s="9" t="s">
        <v>151</v>
      </c>
      <c r="N59" s="13" t="s">
        <v>53</v>
      </c>
      <c r="O59" s="5">
        <v>37</v>
      </c>
      <c r="P59" s="5" t="s">
        <v>26</v>
      </c>
      <c r="Q59" s="19"/>
      <c r="R59" s="17"/>
      <c r="S59" s="17"/>
      <c r="T59" s="18">
        <v>162.722222222222</v>
      </c>
      <c r="U59" s="18">
        <v>6020.72222222222</v>
      </c>
      <c r="V59" s="16"/>
      <c r="W59">
        <f t="shared" si="1"/>
        <v>203.402777777777</v>
      </c>
      <c r="X59">
        <f t="shared" si="2"/>
        <v>7525.90277777777</v>
      </c>
      <c r="Y59">
        <f t="shared" si="3"/>
        <v>28.8514578408195</v>
      </c>
      <c r="Z59">
        <f t="shared" si="4"/>
        <v>1067.50394011032</v>
      </c>
      <c r="AA59">
        <f t="shared" si="7"/>
        <v>0.240828888888889</v>
      </c>
    </row>
    <row r="60" ht="69.6" spans="1:27">
      <c r="A60" s="5">
        <v>10</v>
      </c>
      <c r="B60" s="5" t="s">
        <v>25</v>
      </c>
      <c r="C60" s="5"/>
      <c r="D60" s="5">
        <f t="shared" si="9"/>
        <v>10</v>
      </c>
      <c r="E60" s="5" t="s">
        <v>26</v>
      </c>
      <c r="F60" s="6" t="s">
        <v>157</v>
      </c>
      <c r="G60" s="9" t="s">
        <v>150</v>
      </c>
      <c r="H60" s="9" t="s">
        <v>140</v>
      </c>
      <c r="I60" s="9" t="s">
        <v>111</v>
      </c>
      <c r="J60" s="9"/>
      <c r="K60" s="9" t="s">
        <v>31</v>
      </c>
      <c r="L60" s="9" t="s">
        <v>60</v>
      </c>
      <c r="M60" s="9" t="s">
        <v>151</v>
      </c>
      <c r="N60" s="13" t="s">
        <v>53</v>
      </c>
      <c r="O60" s="5">
        <v>10</v>
      </c>
      <c r="P60" s="5" t="s">
        <v>26</v>
      </c>
      <c r="Q60" s="19"/>
      <c r="R60" s="17"/>
      <c r="S60" s="17"/>
      <c r="T60" s="18">
        <v>166.088888888889</v>
      </c>
      <c r="U60" s="18">
        <v>1660.88888888889</v>
      </c>
      <c r="V60" s="16"/>
      <c r="W60">
        <f t="shared" si="1"/>
        <v>207.611111111111</v>
      </c>
      <c r="X60">
        <f t="shared" si="2"/>
        <v>2076.11111111111</v>
      </c>
      <c r="Y60">
        <f t="shared" si="3"/>
        <v>29.4483845547676</v>
      </c>
      <c r="Z60">
        <f t="shared" si="4"/>
        <v>294.483845547676</v>
      </c>
      <c r="AA60">
        <f t="shared" si="7"/>
        <v>0.0664355555555556</v>
      </c>
    </row>
    <row r="61" ht="69.6" spans="1:27">
      <c r="A61" s="5">
        <v>5</v>
      </c>
      <c r="B61" s="5" t="s">
        <v>25</v>
      </c>
      <c r="C61" s="5"/>
      <c r="D61" s="5">
        <f t="shared" si="9"/>
        <v>5</v>
      </c>
      <c r="E61" s="5" t="s">
        <v>26</v>
      </c>
      <c r="F61" s="6" t="s">
        <v>158</v>
      </c>
      <c r="G61" s="9" t="s">
        <v>150</v>
      </c>
      <c r="H61" s="9" t="s">
        <v>159</v>
      </c>
      <c r="I61" s="9" t="s">
        <v>160</v>
      </c>
      <c r="J61" s="9"/>
      <c r="K61" s="9" t="s">
        <v>31</v>
      </c>
      <c r="L61" s="9" t="s">
        <v>60</v>
      </c>
      <c r="M61" s="9" t="s">
        <v>151</v>
      </c>
      <c r="N61" s="13" t="s">
        <v>53</v>
      </c>
      <c r="O61" s="5">
        <v>5</v>
      </c>
      <c r="P61" s="5" t="s">
        <v>26</v>
      </c>
      <c r="Q61" s="19"/>
      <c r="R61" s="17"/>
      <c r="S61" s="17"/>
      <c r="T61" s="18">
        <v>639.666666666667</v>
      </c>
      <c r="U61" s="18">
        <v>3198.33333333333</v>
      </c>
      <c r="V61" s="16"/>
      <c r="W61">
        <f t="shared" si="1"/>
        <v>799.583333333334</v>
      </c>
      <c r="X61">
        <f t="shared" si="2"/>
        <v>3997.91666666667</v>
      </c>
      <c r="Y61">
        <f t="shared" si="3"/>
        <v>113.416075650118</v>
      </c>
      <c r="Z61">
        <f t="shared" si="4"/>
        <v>567.080378250591</v>
      </c>
      <c r="AA61">
        <f t="shared" si="7"/>
        <v>0.127933333333333</v>
      </c>
    </row>
    <row r="62" ht="108" spans="1:27">
      <c r="A62" s="5">
        <v>2</v>
      </c>
      <c r="B62" s="5" t="s">
        <v>25</v>
      </c>
      <c r="C62" s="5"/>
      <c r="D62" s="5">
        <f t="shared" si="9"/>
        <v>2</v>
      </c>
      <c r="E62" s="5" t="s">
        <v>26</v>
      </c>
      <c r="F62" s="6" t="s">
        <v>161</v>
      </c>
      <c r="G62" s="9" t="s">
        <v>162</v>
      </c>
      <c r="H62" s="9" t="s">
        <v>163</v>
      </c>
      <c r="I62" s="9"/>
      <c r="J62" s="9" t="s">
        <v>98</v>
      </c>
      <c r="K62" s="9" t="s">
        <v>99</v>
      </c>
      <c r="L62" s="9" t="s">
        <v>95</v>
      </c>
      <c r="M62" s="9" t="s">
        <v>164</v>
      </c>
      <c r="N62" s="13" t="s">
        <v>53</v>
      </c>
      <c r="O62" s="5">
        <v>2</v>
      </c>
      <c r="P62" s="5" t="s">
        <v>26</v>
      </c>
      <c r="Q62" s="19"/>
      <c r="R62" s="17"/>
      <c r="S62" s="17"/>
      <c r="T62" s="18">
        <v>156.55</v>
      </c>
      <c r="U62" s="18">
        <v>313.1</v>
      </c>
      <c r="V62" s="16"/>
      <c r="W62">
        <f t="shared" si="1"/>
        <v>195.6875</v>
      </c>
      <c r="X62">
        <f t="shared" si="2"/>
        <v>391.375</v>
      </c>
      <c r="Y62">
        <f t="shared" si="3"/>
        <v>27.7570921985816</v>
      </c>
      <c r="Z62">
        <f t="shared" si="4"/>
        <v>55.5141843971631</v>
      </c>
      <c r="AA62">
        <f t="shared" si="7"/>
        <v>0.012524</v>
      </c>
    </row>
    <row r="63" ht="73.2" spans="1:27">
      <c r="A63" s="5">
        <v>34</v>
      </c>
      <c r="B63" s="5" t="s">
        <v>25</v>
      </c>
      <c r="C63" s="5"/>
      <c r="D63" s="5">
        <f t="shared" si="9"/>
        <v>34</v>
      </c>
      <c r="E63" s="5" t="s">
        <v>26</v>
      </c>
      <c r="F63" s="6" t="s">
        <v>165</v>
      </c>
      <c r="G63" s="9" t="s">
        <v>166</v>
      </c>
      <c r="H63" s="9" t="s">
        <v>77</v>
      </c>
      <c r="I63" s="9"/>
      <c r="J63" s="9"/>
      <c r="K63" s="9" t="s">
        <v>167</v>
      </c>
      <c r="L63" s="9" t="s">
        <v>95</v>
      </c>
      <c r="M63" s="9" t="s">
        <v>168</v>
      </c>
      <c r="N63" s="13" t="s">
        <v>169</v>
      </c>
      <c r="O63" s="5">
        <v>34</v>
      </c>
      <c r="P63" s="5" t="s">
        <v>26</v>
      </c>
      <c r="Q63" s="19"/>
      <c r="R63" s="17"/>
      <c r="S63" s="17"/>
      <c r="T63" s="18">
        <v>51.5</v>
      </c>
      <c r="U63" s="18">
        <v>1751</v>
      </c>
      <c r="V63" s="16"/>
      <c r="W63">
        <f t="shared" si="1"/>
        <v>64.375</v>
      </c>
      <c r="X63">
        <f t="shared" si="2"/>
        <v>2188.75</v>
      </c>
      <c r="Y63">
        <f t="shared" si="3"/>
        <v>9.13120567375887</v>
      </c>
      <c r="Z63">
        <f t="shared" si="4"/>
        <v>310.460992907801</v>
      </c>
      <c r="AA63">
        <f t="shared" si="7"/>
        <v>0.07004</v>
      </c>
    </row>
    <row r="64" ht="54" spans="1:27">
      <c r="A64" s="5">
        <v>17</v>
      </c>
      <c r="B64" s="5" t="s">
        <v>25</v>
      </c>
      <c r="C64" s="5"/>
      <c r="D64" s="5">
        <f t="shared" si="9"/>
        <v>17</v>
      </c>
      <c r="E64" s="5" t="s">
        <v>26</v>
      </c>
      <c r="F64" s="6" t="s">
        <v>170</v>
      </c>
      <c r="G64" s="9" t="s">
        <v>42</v>
      </c>
      <c r="H64" s="9" t="s">
        <v>50</v>
      </c>
      <c r="I64" s="9" t="s">
        <v>51</v>
      </c>
      <c r="J64" s="9" t="s">
        <v>98</v>
      </c>
      <c r="K64" s="9" t="s">
        <v>44</v>
      </c>
      <c r="L64" s="9" t="s">
        <v>95</v>
      </c>
      <c r="M64" s="9" t="s">
        <v>171</v>
      </c>
      <c r="N64" s="13" t="s">
        <v>53</v>
      </c>
      <c r="O64" s="5">
        <v>17</v>
      </c>
      <c r="P64" s="5" t="s">
        <v>26</v>
      </c>
      <c r="Q64" s="19"/>
      <c r="R64" s="17"/>
      <c r="S64" s="17"/>
      <c r="T64" s="18">
        <v>933.24</v>
      </c>
      <c r="U64" s="18">
        <v>15865.08</v>
      </c>
      <c r="V64" s="16"/>
      <c r="W64">
        <f t="shared" si="1"/>
        <v>1166.55</v>
      </c>
      <c r="X64">
        <f t="shared" si="2"/>
        <v>19831.35</v>
      </c>
      <c r="Y64">
        <f t="shared" si="3"/>
        <v>165.468085106383</v>
      </c>
      <c r="Z64">
        <f t="shared" si="4"/>
        <v>2812.95744680851</v>
      </c>
      <c r="AA64">
        <f t="shared" si="7"/>
        <v>0.6346032</v>
      </c>
    </row>
    <row r="65" ht="54" spans="1:27">
      <c r="A65" s="5">
        <v>695</v>
      </c>
      <c r="B65" s="5" t="s">
        <v>25</v>
      </c>
      <c r="C65" s="5"/>
      <c r="D65" s="5">
        <f t="shared" si="9"/>
        <v>695</v>
      </c>
      <c r="E65" s="5" t="s">
        <v>26</v>
      </c>
      <c r="F65" s="6" t="s">
        <v>172</v>
      </c>
      <c r="G65" s="9" t="s">
        <v>42</v>
      </c>
      <c r="H65" s="9" t="s">
        <v>29</v>
      </c>
      <c r="I65" s="9" t="s">
        <v>55</v>
      </c>
      <c r="J65" s="9" t="s">
        <v>98</v>
      </c>
      <c r="K65" s="9" t="s">
        <v>44</v>
      </c>
      <c r="L65" s="9" t="s">
        <v>95</v>
      </c>
      <c r="M65" s="9" t="s">
        <v>171</v>
      </c>
      <c r="N65" s="13" t="s">
        <v>53</v>
      </c>
      <c r="O65" s="5">
        <v>695</v>
      </c>
      <c r="P65" s="5" t="s">
        <v>26</v>
      </c>
      <c r="Q65" s="19"/>
      <c r="R65" s="17"/>
      <c r="S65" s="17"/>
      <c r="T65" s="18">
        <v>125.24</v>
      </c>
      <c r="U65" s="18">
        <v>87041.8</v>
      </c>
      <c r="V65" s="16"/>
      <c r="W65">
        <f t="shared" si="1"/>
        <v>156.55</v>
      </c>
      <c r="X65">
        <f t="shared" si="2"/>
        <v>108802.25</v>
      </c>
      <c r="Y65">
        <f t="shared" si="3"/>
        <v>22.2056737588652</v>
      </c>
      <c r="Z65">
        <f t="shared" si="4"/>
        <v>15432.9432624113</v>
      </c>
      <c r="AA65">
        <f t="shared" si="7"/>
        <v>3.481672</v>
      </c>
    </row>
    <row r="66" ht="54" spans="1:27">
      <c r="A66" s="5">
        <v>231</v>
      </c>
      <c r="B66" s="5" t="s">
        <v>25</v>
      </c>
      <c r="C66" s="5"/>
      <c r="D66" s="5">
        <f t="shared" si="9"/>
        <v>231</v>
      </c>
      <c r="E66" s="5" t="s">
        <v>26</v>
      </c>
      <c r="F66" s="6" t="s">
        <v>173</v>
      </c>
      <c r="G66" s="9" t="s">
        <v>42</v>
      </c>
      <c r="H66" s="9" t="s">
        <v>57</v>
      </c>
      <c r="I66" s="9" t="s">
        <v>55</v>
      </c>
      <c r="J66" s="9" t="s">
        <v>98</v>
      </c>
      <c r="K66" s="9" t="s">
        <v>44</v>
      </c>
      <c r="L66" s="9" t="s">
        <v>95</v>
      </c>
      <c r="M66" s="9" t="s">
        <v>171</v>
      </c>
      <c r="N66" s="13" t="s">
        <v>53</v>
      </c>
      <c r="O66" s="5">
        <v>231</v>
      </c>
      <c r="P66" s="5" t="s">
        <v>26</v>
      </c>
      <c r="Q66" s="19"/>
      <c r="R66" s="17"/>
      <c r="S66" s="17"/>
      <c r="T66" s="18">
        <v>169.68</v>
      </c>
      <c r="U66" s="18">
        <v>39196.08</v>
      </c>
      <c r="V66" s="16"/>
      <c r="W66">
        <f t="shared" si="1"/>
        <v>212.1</v>
      </c>
      <c r="X66">
        <f t="shared" si="2"/>
        <v>48995.1</v>
      </c>
      <c r="Y66">
        <f t="shared" si="3"/>
        <v>30.0851063829787</v>
      </c>
      <c r="Z66">
        <f t="shared" si="4"/>
        <v>6949.65957446809</v>
      </c>
      <c r="AA66">
        <f t="shared" si="7"/>
        <v>1.5678432</v>
      </c>
    </row>
    <row r="67" ht="54" spans="1:27">
      <c r="A67" s="5">
        <v>249</v>
      </c>
      <c r="B67" s="5" t="s">
        <v>25</v>
      </c>
      <c r="C67" s="5"/>
      <c r="D67" s="5">
        <f t="shared" si="9"/>
        <v>249</v>
      </c>
      <c r="E67" s="5" t="s">
        <v>26</v>
      </c>
      <c r="F67" s="6" t="s">
        <v>174</v>
      </c>
      <c r="G67" s="9" t="s">
        <v>42</v>
      </c>
      <c r="H67" s="9" t="s">
        <v>59</v>
      </c>
      <c r="I67" s="9" t="s">
        <v>55</v>
      </c>
      <c r="J67" s="9" t="s">
        <v>98</v>
      </c>
      <c r="K67" s="9" t="s">
        <v>44</v>
      </c>
      <c r="L67" s="9" t="s">
        <v>95</v>
      </c>
      <c r="M67" s="9" t="s">
        <v>171</v>
      </c>
      <c r="N67" s="13" t="s">
        <v>53</v>
      </c>
      <c r="O67" s="5">
        <v>249</v>
      </c>
      <c r="P67" s="5" t="s">
        <v>26</v>
      </c>
      <c r="Q67" s="19"/>
      <c r="R67" s="17"/>
      <c r="S67" s="17"/>
      <c r="T67" s="18">
        <v>218.16</v>
      </c>
      <c r="U67" s="18">
        <v>54321.84</v>
      </c>
      <c r="V67" s="16"/>
      <c r="W67">
        <f t="shared" si="1"/>
        <v>272.7</v>
      </c>
      <c r="X67">
        <f t="shared" si="2"/>
        <v>67902.3</v>
      </c>
      <c r="Y67">
        <f t="shared" si="3"/>
        <v>38.6808510638298</v>
      </c>
      <c r="Z67">
        <f t="shared" si="4"/>
        <v>9631.53191489362</v>
      </c>
      <c r="AA67">
        <f t="shared" si="7"/>
        <v>2.1728736</v>
      </c>
    </row>
    <row r="68" ht="54" spans="1:27">
      <c r="A68" s="5">
        <v>9</v>
      </c>
      <c r="B68" s="5" t="s">
        <v>25</v>
      </c>
      <c r="C68" s="5"/>
      <c r="D68" s="5">
        <f t="shared" si="9"/>
        <v>9</v>
      </c>
      <c r="E68" s="5" t="s">
        <v>26</v>
      </c>
      <c r="F68" s="6" t="s">
        <v>175</v>
      </c>
      <c r="G68" s="9" t="s">
        <v>42</v>
      </c>
      <c r="H68" s="9" t="s">
        <v>176</v>
      </c>
      <c r="I68" s="9" t="s">
        <v>64</v>
      </c>
      <c r="J68" s="9" t="s">
        <v>98</v>
      </c>
      <c r="K68" s="9" t="s">
        <v>44</v>
      </c>
      <c r="L68" s="9" t="s">
        <v>95</v>
      </c>
      <c r="M68" s="9" t="s">
        <v>171</v>
      </c>
      <c r="N68" s="13" t="s">
        <v>53</v>
      </c>
      <c r="O68" s="5">
        <v>9</v>
      </c>
      <c r="P68" s="5" t="s">
        <v>26</v>
      </c>
      <c r="Q68" s="19"/>
      <c r="R68" s="17"/>
      <c r="S68" s="17"/>
      <c r="T68" s="18">
        <v>282.8</v>
      </c>
      <c r="U68" s="18">
        <v>2545.2</v>
      </c>
      <c r="V68" s="16"/>
      <c r="W68">
        <f t="shared" ref="W68:W131" si="10">T68*1.25</f>
        <v>353.5</v>
      </c>
      <c r="X68">
        <f t="shared" ref="X68:X131" si="11">W68*O68</f>
        <v>3181.5</v>
      </c>
      <c r="Y68">
        <f t="shared" ref="Y68:Y131" si="12">W68/7.05</f>
        <v>50.1418439716312</v>
      </c>
      <c r="Z68">
        <f t="shared" ref="Z68:Z131" si="13">Y68*O68</f>
        <v>451.276595744681</v>
      </c>
      <c r="AA68">
        <f t="shared" ref="AA68:AA99" si="14">U68/25000</f>
        <v>0.101808</v>
      </c>
    </row>
    <row r="69" ht="54" spans="1:27">
      <c r="A69" s="5">
        <v>84</v>
      </c>
      <c r="B69" s="5" t="s">
        <v>25</v>
      </c>
      <c r="C69" s="5"/>
      <c r="D69" s="5">
        <f t="shared" si="9"/>
        <v>84</v>
      </c>
      <c r="E69" s="5" t="s">
        <v>26</v>
      </c>
      <c r="F69" s="6" t="s">
        <v>177</v>
      </c>
      <c r="G69" s="9" t="s">
        <v>42</v>
      </c>
      <c r="H69" s="9" t="s">
        <v>63</v>
      </c>
      <c r="I69" s="9" t="s">
        <v>64</v>
      </c>
      <c r="J69" s="9" t="s">
        <v>98</v>
      </c>
      <c r="K69" s="9" t="s">
        <v>44</v>
      </c>
      <c r="L69" s="9" t="s">
        <v>95</v>
      </c>
      <c r="M69" s="9" t="s">
        <v>171</v>
      </c>
      <c r="N69" s="13" t="s">
        <v>53</v>
      </c>
      <c r="O69" s="5">
        <v>84</v>
      </c>
      <c r="P69" s="5" t="s">
        <v>26</v>
      </c>
      <c r="Q69" s="19"/>
      <c r="R69" s="17"/>
      <c r="S69" s="17"/>
      <c r="T69" s="18">
        <v>367.64</v>
      </c>
      <c r="U69" s="18">
        <v>30881.76</v>
      </c>
      <c r="V69" s="16"/>
      <c r="W69">
        <f t="shared" si="10"/>
        <v>459.55</v>
      </c>
      <c r="X69">
        <f t="shared" si="11"/>
        <v>38602.2</v>
      </c>
      <c r="Y69">
        <f t="shared" si="12"/>
        <v>65.1843971631206</v>
      </c>
      <c r="Z69">
        <f t="shared" si="13"/>
        <v>5475.48936170213</v>
      </c>
      <c r="AA69">
        <f t="shared" si="14"/>
        <v>1.2352704</v>
      </c>
    </row>
    <row r="70" ht="54" spans="1:27">
      <c r="A70" s="5">
        <v>286</v>
      </c>
      <c r="B70" s="5" t="s">
        <v>25</v>
      </c>
      <c r="C70" s="5"/>
      <c r="D70" s="5">
        <f t="shared" si="9"/>
        <v>286</v>
      </c>
      <c r="E70" s="5" t="s">
        <v>26</v>
      </c>
      <c r="F70" s="6" t="s">
        <v>178</v>
      </c>
      <c r="G70" s="9" t="s">
        <v>42</v>
      </c>
      <c r="H70" s="9" t="s">
        <v>66</v>
      </c>
      <c r="I70" s="9" t="s">
        <v>67</v>
      </c>
      <c r="J70" s="9" t="s">
        <v>98</v>
      </c>
      <c r="K70" s="9" t="s">
        <v>44</v>
      </c>
      <c r="L70" s="9" t="s">
        <v>95</v>
      </c>
      <c r="M70" s="9" t="s">
        <v>171</v>
      </c>
      <c r="N70" s="13" t="s">
        <v>53</v>
      </c>
      <c r="O70" s="5">
        <v>286</v>
      </c>
      <c r="P70" s="5" t="s">
        <v>26</v>
      </c>
      <c r="Q70" s="19"/>
      <c r="R70" s="17"/>
      <c r="S70" s="17"/>
      <c r="T70" s="18">
        <v>464.6</v>
      </c>
      <c r="U70" s="18">
        <v>132875.6</v>
      </c>
      <c r="V70" s="16"/>
      <c r="W70">
        <f t="shared" si="10"/>
        <v>580.75</v>
      </c>
      <c r="X70">
        <f t="shared" si="11"/>
        <v>166094.5</v>
      </c>
      <c r="Y70">
        <f t="shared" si="12"/>
        <v>82.3758865248227</v>
      </c>
      <c r="Z70">
        <f t="shared" si="13"/>
        <v>23559.5035460993</v>
      </c>
      <c r="AA70">
        <f t="shared" si="14"/>
        <v>5.315024</v>
      </c>
    </row>
    <row r="71" ht="54" spans="1:27">
      <c r="A71" s="5">
        <v>7</v>
      </c>
      <c r="B71" s="5" t="s">
        <v>25</v>
      </c>
      <c r="C71" s="5"/>
      <c r="D71" s="5">
        <f t="shared" si="9"/>
        <v>7</v>
      </c>
      <c r="E71" s="5" t="s">
        <v>26</v>
      </c>
      <c r="F71" s="6" t="s">
        <v>179</v>
      </c>
      <c r="G71" s="9" t="s">
        <v>42</v>
      </c>
      <c r="H71" s="9" t="s">
        <v>77</v>
      </c>
      <c r="I71" s="9" t="s">
        <v>64</v>
      </c>
      <c r="J71" s="9" t="s">
        <v>94</v>
      </c>
      <c r="K71" s="9" t="s">
        <v>44</v>
      </c>
      <c r="L71" s="9" t="s">
        <v>95</v>
      </c>
      <c r="M71" s="9" t="s">
        <v>171</v>
      </c>
      <c r="N71" s="13" t="s">
        <v>53</v>
      </c>
      <c r="O71" s="5">
        <v>7</v>
      </c>
      <c r="P71" s="5" t="s">
        <v>26</v>
      </c>
      <c r="Q71" s="19"/>
      <c r="R71" s="17"/>
      <c r="S71" s="17"/>
      <c r="T71" s="18">
        <v>40.4</v>
      </c>
      <c r="U71" s="18">
        <v>282.8</v>
      </c>
      <c r="V71" s="16"/>
      <c r="W71">
        <f t="shared" si="10"/>
        <v>50.5</v>
      </c>
      <c r="X71">
        <f t="shared" si="11"/>
        <v>353.5</v>
      </c>
      <c r="Y71">
        <f t="shared" si="12"/>
        <v>7.16312056737589</v>
      </c>
      <c r="Z71">
        <f t="shared" si="13"/>
        <v>50.1418439716312</v>
      </c>
      <c r="AA71">
        <f t="shared" si="14"/>
        <v>0.011312</v>
      </c>
    </row>
    <row r="72" ht="54" spans="1:27">
      <c r="A72" s="5">
        <v>215</v>
      </c>
      <c r="B72" s="5" t="s">
        <v>25</v>
      </c>
      <c r="C72" s="5"/>
      <c r="D72" s="5">
        <f t="shared" si="9"/>
        <v>215</v>
      </c>
      <c r="E72" s="5" t="s">
        <v>26</v>
      </c>
      <c r="F72" s="6" t="s">
        <v>180</v>
      </c>
      <c r="G72" s="9" t="s">
        <v>42</v>
      </c>
      <c r="H72" s="9" t="s">
        <v>69</v>
      </c>
      <c r="I72" s="9" t="s">
        <v>64</v>
      </c>
      <c r="J72" s="9" t="s">
        <v>94</v>
      </c>
      <c r="K72" s="9" t="s">
        <v>44</v>
      </c>
      <c r="L72" s="9" t="s">
        <v>95</v>
      </c>
      <c r="M72" s="9" t="s">
        <v>171</v>
      </c>
      <c r="N72" s="13" t="s">
        <v>53</v>
      </c>
      <c r="O72" s="5">
        <v>215</v>
      </c>
      <c r="P72" s="5" t="s">
        <v>26</v>
      </c>
      <c r="Q72" s="19"/>
      <c r="R72" s="17"/>
      <c r="S72" s="17"/>
      <c r="T72" s="18">
        <v>50.5</v>
      </c>
      <c r="U72" s="18">
        <v>10857.5</v>
      </c>
      <c r="V72" s="16"/>
      <c r="W72">
        <f t="shared" si="10"/>
        <v>63.125</v>
      </c>
      <c r="X72">
        <f t="shared" si="11"/>
        <v>13571.875</v>
      </c>
      <c r="Y72">
        <f t="shared" si="12"/>
        <v>8.95390070921986</v>
      </c>
      <c r="Z72">
        <f t="shared" si="13"/>
        <v>1925.08865248227</v>
      </c>
      <c r="AA72">
        <f t="shared" si="14"/>
        <v>0.4343</v>
      </c>
    </row>
    <row r="73" ht="54" spans="1:27">
      <c r="A73" s="5">
        <v>11</v>
      </c>
      <c r="B73" s="5" t="s">
        <v>25</v>
      </c>
      <c r="C73" s="5"/>
      <c r="D73" s="5">
        <f t="shared" si="9"/>
        <v>11</v>
      </c>
      <c r="E73" s="5" t="s">
        <v>26</v>
      </c>
      <c r="F73" s="6" t="s">
        <v>181</v>
      </c>
      <c r="G73" s="9" t="s">
        <v>28</v>
      </c>
      <c r="H73" s="9" t="s">
        <v>72</v>
      </c>
      <c r="I73" s="9" t="s">
        <v>64</v>
      </c>
      <c r="J73" s="9"/>
      <c r="K73" s="9" t="s">
        <v>31</v>
      </c>
      <c r="L73" s="9" t="s">
        <v>60</v>
      </c>
      <c r="M73" s="9" t="s">
        <v>61</v>
      </c>
      <c r="N73" s="13" t="s">
        <v>53</v>
      </c>
      <c r="O73" s="5">
        <v>11</v>
      </c>
      <c r="P73" s="5" t="s">
        <v>26</v>
      </c>
      <c r="Q73" s="19"/>
      <c r="R73" s="17"/>
      <c r="S73" s="17"/>
      <c r="T73" s="18">
        <v>14.5888888888889</v>
      </c>
      <c r="U73" s="18">
        <v>160.477777777778</v>
      </c>
      <c r="V73" s="16"/>
      <c r="W73">
        <f t="shared" si="10"/>
        <v>18.2361111111111</v>
      </c>
      <c r="X73">
        <f t="shared" si="11"/>
        <v>200.597222222222</v>
      </c>
      <c r="Y73">
        <f t="shared" si="12"/>
        <v>2.58668242710796</v>
      </c>
      <c r="Z73">
        <f t="shared" si="13"/>
        <v>28.4535066981876</v>
      </c>
      <c r="AA73">
        <f t="shared" si="14"/>
        <v>0.00641911111111112</v>
      </c>
    </row>
    <row r="74" ht="54" spans="1:27">
      <c r="A74" s="5">
        <v>2</v>
      </c>
      <c r="B74" s="5" t="s">
        <v>25</v>
      </c>
      <c r="C74" s="5"/>
      <c r="D74" s="5">
        <f t="shared" si="9"/>
        <v>2</v>
      </c>
      <c r="E74" s="5" t="s">
        <v>26</v>
      </c>
      <c r="F74" s="6" t="s">
        <v>182</v>
      </c>
      <c r="G74" s="9" t="s">
        <v>28</v>
      </c>
      <c r="H74" s="9" t="s">
        <v>74</v>
      </c>
      <c r="I74" s="9" t="s">
        <v>75</v>
      </c>
      <c r="J74" s="9"/>
      <c r="K74" s="9" t="s">
        <v>31</v>
      </c>
      <c r="L74" s="9" t="s">
        <v>60</v>
      </c>
      <c r="M74" s="9" t="s">
        <v>61</v>
      </c>
      <c r="N74" s="13" t="s">
        <v>53</v>
      </c>
      <c r="O74" s="5">
        <v>2</v>
      </c>
      <c r="P74" s="5" t="s">
        <v>26</v>
      </c>
      <c r="Q74" s="19"/>
      <c r="R74" s="17"/>
      <c r="S74" s="17"/>
      <c r="T74" s="18">
        <v>11.2222222222222</v>
      </c>
      <c r="U74" s="18">
        <v>22.4444444444444</v>
      </c>
      <c r="V74" s="16"/>
      <c r="W74">
        <f t="shared" si="10"/>
        <v>14.0277777777778</v>
      </c>
      <c r="X74">
        <f t="shared" si="11"/>
        <v>28.0555555555555</v>
      </c>
      <c r="Y74">
        <f t="shared" si="12"/>
        <v>1.98975571315996</v>
      </c>
      <c r="Z74">
        <f t="shared" si="13"/>
        <v>3.97951142631993</v>
      </c>
      <c r="AA74">
        <f t="shared" si="14"/>
        <v>0.000897777777777776</v>
      </c>
    </row>
    <row r="75" ht="54" spans="1:27">
      <c r="A75" s="5">
        <v>41</v>
      </c>
      <c r="B75" s="5" t="s">
        <v>25</v>
      </c>
      <c r="C75" s="5"/>
      <c r="D75" s="5">
        <f t="shared" si="9"/>
        <v>41</v>
      </c>
      <c r="E75" s="5" t="s">
        <v>26</v>
      </c>
      <c r="F75" s="6" t="s">
        <v>183</v>
      </c>
      <c r="G75" s="9" t="s">
        <v>28</v>
      </c>
      <c r="H75" s="9" t="s">
        <v>79</v>
      </c>
      <c r="I75" s="9" t="s">
        <v>80</v>
      </c>
      <c r="J75" s="9"/>
      <c r="K75" s="9" t="s">
        <v>31</v>
      </c>
      <c r="L75" s="9" t="s">
        <v>60</v>
      </c>
      <c r="M75" s="9" t="s">
        <v>61</v>
      </c>
      <c r="N75" s="13" t="s">
        <v>53</v>
      </c>
      <c r="O75" s="5">
        <v>41</v>
      </c>
      <c r="P75" s="5" t="s">
        <v>26</v>
      </c>
      <c r="Q75" s="19"/>
      <c r="R75" s="17"/>
      <c r="S75" s="17"/>
      <c r="T75" s="18">
        <v>634.055555555556</v>
      </c>
      <c r="U75" s="18">
        <v>25996.2777777778</v>
      </c>
      <c r="V75" s="16" t="s">
        <v>81</v>
      </c>
      <c r="W75">
        <f t="shared" si="10"/>
        <v>792.569444444445</v>
      </c>
      <c r="X75">
        <f t="shared" si="11"/>
        <v>32495.3472222222</v>
      </c>
      <c r="Y75">
        <f t="shared" si="12"/>
        <v>112.421197793538</v>
      </c>
      <c r="Z75">
        <f t="shared" si="13"/>
        <v>4609.26910953507</v>
      </c>
      <c r="AA75">
        <f t="shared" si="14"/>
        <v>1.03985111111111</v>
      </c>
    </row>
    <row r="76" ht="54" spans="1:27">
      <c r="A76" s="5">
        <v>52</v>
      </c>
      <c r="B76" s="5" t="s">
        <v>25</v>
      </c>
      <c r="C76" s="5"/>
      <c r="D76" s="5">
        <f t="shared" si="9"/>
        <v>52</v>
      </c>
      <c r="E76" s="5" t="s">
        <v>26</v>
      </c>
      <c r="F76" s="6" t="s">
        <v>184</v>
      </c>
      <c r="G76" s="9" t="s">
        <v>28</v>
      </c>
      <c r="H76" s="9" t="s">
        <v>74</v>
      </c>
      <c r="I76" s="9" t="s">
        <v>75</v>
      </c>
      <c r="J76" s="9"/>
      <c r="K76" s="9" t="s">
        <v>31</v>
      </c>
      <c r="L76" s="9" t="s">
        <v>60</v>
      </c>
      <c r="M76" s="9" t="s">
        <v>70</v>
      </c>
      <c r="N76" s="13" t="s">
        <v>53</v>
      </c>
      <c r="O76" s="5">
        <v>52</v>
      </c>
      <c r="P76" s="5" t="s">
        <v>26</v>
      </c>
      <c r="Q76" s="19"/>
      <c r="R76" s="17"/>
      <c r="S76" s="17"/>
      <c r="T76" s="18">
        <v>39.2777777777778</v>
      </c>
      <c r="U76" s="18">
        <v>2042.44444444445</v>
      </c>
      <c r="V76" s="16"/>
      <c r="W76">
        <f t="shared" si="10"/>
        <v>49.0972222222222</v>
      </c>
      <c r="X76">
        <f t="shared" si="11"/>
        <v>2553.05555555556</v>
      </c>
      <c r="Y76">
        <f t="shared" si="12"/>
        <v>6.96414499605989</v>
      </c>
      <c r="Z76">
        <f t="shared" si="13"/>
        <v>362.135539795114</v>
      </c>
      <c r="AA76">
        <f t="shared" si="14"/>
        <v>0.081697777777778</v>
      </c>
    </row>
    <row r="77" ht="54" spans="1:27">
      <c r="A77" s="5">
        <v>48</v>
      </c>
      <c r="B77" s="5" t="s">
        <v>25</v>
      </c>
      <c r="C77" s="5"/>
      <c r="D77" s="5">
        <f t="shared" si="9"/>
        <v>48</v>
      </c>
      <c r="E77" s="5" t="s">
        <v>26</v>
      </c>
      <c r="F77" s="6" t="s">
        <v>185</v>
      </c>
      <c r="G77" s="9" t="s">
        <v>37</v>
      </c>
      <c r="H77" s="9" t="s">
        <v>72</v>
      </c>
      <c r="I77" s="9" t="s">
        <v>64</v>
      </c>
      <c r="J77" s="9"/>
      <c r="K77" s="9" t="s">
        <v>31</v>
      </c>
      <c r="L77" s="9" t="s">
        <v>60</v>
      </c>
      <c r="M77" s="9" t="s">
        <v>61</v>
      </c>
      <c r="N77" s="13" t="s">
        <v>53</v>
      </c>
      <c r="O77" s="5">
        <v>48</v>
      </c>
      <c r="P77" s="5" t="s">
        <v>26</v>
      </c>
      <c r="Q77" s="19"/>
      <c r="R77" s="17"/>
      <c r="S77" s="17"/>
      <c r="T77" s="18">
        <v>14.5888888888889</v>
      </c>
      <c r="U77" s="18">
        <v>700.266666666667</v>
      </c>
      <c r="V77" s="16"/>
      <c r="W77">
        <f t="shared" si="10"/>
        <v>18.2361111111111</v>
      </c>
      <c r="X77">
        <f t="shared" si="11"/>
        <v>875.333333333334</v>
      </c>
      <c r="Y77">
        <f t="shared" si="12"/>
        <v>2.58668242710796</v>
      </c>
      <c r="Z77">
        <f t="shared" si="13"/>
        <v>124.160756501182</v>
      </c>
      <c r="AA77">
        <f t="shared" si="14"/>
        <v>0.0280106666666667</v>
      </c>
    </row>
    <row r="78" ht="54" spans="1:27">
      <c r="A78" s="5">
        <v>37</v>
      </c>
      <c r="B78" s="5" t="s">
        <v>25</v>
      </c>
      <c r="C78" s="5"/>
      <c r="D78" s="5">
        <f t="shared" si="9"/>
        <v>37</v>
      </c>
      <c r="E78" s="5" t="s">
        <v>26</v>
      </c>
      <c r="F78" s="6" t="s">
        <v>186</v>
      </c>
      <c r="G78" s="9" t="s">
        <v>93</v>
      </c>
      <c r="H78" s="9" t="s">
        <v>57</v>
      </c>
      <c r="I78" s="9"/>
      <c r="J78" s="9" t="s">
        <v>98</v>
      </c>
      <c r="K78" s="9" t="s">
        <v>99</v>
      </c>
      <c r="L78" s="9" t="s">
        <v>95</v>
      </c>
      <c r="M78" s="9" t="s">
        <v>96</v>
      </c>
      <c r="N78" s="13" t="s">
        <v>53</v>
      </c>
      <c r="O78" s="5">
        <v>37</v>
      </c>
      <c r="P78" s="5" t="s">
        <v>26</v>
      </c>
      <c r="Q78" s="19"/>
      <c r="R78" s="17"/>
      <c r="S78" s="17"/>
      <c r="T78" s="18">
        <v>176.75</v>
      </c>
      <c r="U78" s="18">
        <v>6539.75</v>
      </c>
      <c r="V78" s="16"/>
      <c r="W78">
        <f t="shared" si="10"/>
        <v>220.9375</v>
      </c>
      <c r="X78">
        <f t="shared" si="11"/>
        <v>8174.6875</v>
      </c>
      <c r="Y78">
        <f t="shared" si="12"/>
        <v>31.3386524822695</v>
      </c>
      <c r="Z78">
        <f t="shared" si="13"/>
        <v>1159.53014184397</v>
      </c>
      <c r="AA78">
        <f t="shared" si="14"/>
        <v>0.26159</v>
      </c>
    </row>
    <row r="79" ht="54" spans="1:27">
      <c r="A79" s="5">
        <v>3</v>
      </c>
      <c r="B79" s="5" t="s">
        <v>25</v>
      </c>
      <c r="C79" s="5"/>
      <c r="D79" s="5">
        <f t="shared" si="9"/>
        <v>3</v>
      </c>
      <c r="E79" s="5" t="s">
        <v>26</v>
      </c>
      <c r="F79" s="6" t="s">
        <v>187</v>
      </c>
      <c r="G79" s="9" t="s">
        <v>93</v>
      </c>
      <c r="H79" s="9" t="s">
        <v>59</v>
      </c>
      <c r="I79" s="9"/>
      <c r="J79" s="9" t="s">
        <v>98</v>
      </c>
      <c r="K79" s="9" t="s">
        <v>99</v>
      </c>
      <c r="L79" s="9" t="s">
        <v>95</v>
      </c>
      <c r="M79" s="9" t="s">
        <v>96</v>
      </c>
      <c r="N79" s="13" t="s">
        <v>53</v>
      </c>
      <c r="O79" s="5">
        <v>3</v>
      </c>
      <c r="P79" s="5" t="s">
        <v>26</v>
      </c>
      <c r="Q79" s="19"/>
      <c r="R79" s="17"/>
      <c r="S79" s="17"/>
      <c r="T79" s="18">
        <v>237.35</v>
      </c>
      <c r="U79" s="18">
        <v>712.05</v>
      </c>
      <c r="V79" s="16"/>
      <c r="W79">
        <f t="shared" si="10"/>
        <v>296.6875</v>
      </c>
      <c r="X79">
        <f t="shared" si="11"/>
        <v>890.0625</v>
      </c>
      <c r="Y79">
        <f t="shared" si="12"/>
        <v>42.0833333333333</v>
      </c>
      <c r="Z79">
        <f t="shared" si="13"/>
        <v>126.25</v>
      </c>
      <c r="AA79">
        <f t="shared" si="14"/>
        <v>0.028482</v>
      </c>
    </row>
    <row r="80" ht="54" spans="1:27">
      <c r="A80" s="5">
        <v>9</v>
      </c>
      <c r="B80" s="5" t="s">
        <v>25</v>
      </c>
      <c r="C80" s="5"/>
      <c r="D80" s="5">
        <f t="shared" si="9"/>
        <v>9</v>
      </c>
      <c r="E80" s="5" t="s">
        <v>26</v>
      </c>
      <c r="F80" s="6" t="s">
        <v>188</v>
      </c>
      <c r="G80" s="9" t="s">
        <v>93</v>
      </c>
      <c r="H80" s="9" t="s">
        <v>63</v>
      </c>
      <c r="I80" s="9"/>
      <c r="J80" s="9" t="s">
        <v>98</v>
      </c>
      <c r="K80" s="9" t="s">
        <v>99</v>
      </c>
      <c r="L80" s="9" t="s">
        <v>95</v>
      </c>
      <c r="M80" s="9" t="s">
        <v>96</v>
      </c>
      <c r="N80" s="13" t="s">
        <v>53</v>
      </c>
      <c r="O80" s="5">
        <v>9</v>
      </c>
      <c r="P80" s="5" t="s">
        <v>26</v>
      </c>
      <c r="Q80" s="19"/>
      <c r="R80" s="17"/>
      <c r="S80" s="17"/>
      <c r="T80" s="18">
        <v>402.99</v>
      </c>
      <c r="U80" s="18">
        <v>3626.91</v>
      </c>
      <c r="V80" s="16"/>
      <c r="W80">
        <f t="shared" si="10"/>
        <v>503.7375</v>
      </c>
      <c r="X80">
        <f t="shared" si="11"/>
        <v>4533.6375</v>
      </c>
      <c r="Y80">
        <f t="shared" si="12"/>
        <v>71.4521276595745</v>
      </c>
      <c r="Z80">
        <f t="shared" si="13"/>
        <v>643.06914893617</v>
      </c>
      <c r="AA80">
        <f t="shared" si="14"/>
        <v>0.1450764</v>
      </c>
    </row>
    <row r="81" ht="54" spans="1:27">
      <c r="A81" s="5">
        <v>6</v>
      </c>
      <c r="B81" s="5" t="s">
        <v>25</v>
      </c>
      <c r="C81" s="5"/>
      <c r="D81" s="5">
        <f t="shared" si="9"/>
        <v>6</v>
      </c>
      <c r="E81" s="5" t="s">
        <v>26</v>
      </c>
      <c r="F81" s="6" t="s">
        <v>189</v>
      </c>
      <c r="G81" s="9" t="s">
        <v>93</v>
      </c>
      <c r="H81" s="9" t="s">
        <v>66</v>
      </c>
      <c r="I81" s="9"/>
      <c r="J81" s="9" t="s">
        <v>98</v>
      </c>
      <c r="K81" s="9" t="s">
        <v>99</v>
      </c>
      <c r="L81" s="9" t="s">
        <v>95</v>
      </c>
      <c r="M81" s="9" t="s">
        <v>96</v>
      </c>
      <c r="N81" s="13" t="s">
        <v>53</v>
      </c>
      <c r="O81" s="5">
        <v>6</v>
      </c>
      <c r="P81" s="5" t="s">
        <v>26</v>
      </c>
      <c r="Q81" s="19"/>
      <c r="R81" s="17"/>
      <c r="S81" s="17"/>
      <c r="T81" s="18">
        <v>633.27</v>
      </c>
      <c r="U81" s="18">
        <v>3799.62</v>
      </c>
      <c r="V81" s="16"/>
      <c r="W81">
        <f t="shared" si="10"/>
        <v>791.5875</v>
      </c>
      <c r="X81">
        <f t="shared" si="11"/>
        <v>4749.525</v>
      </c>
      <c r="Y81">
        <f t="shared" si="12"/>
        <v>112.281914893617</v>
      </c>
      <c r="Z81">
        <f t="shared" si="13"/>
        <v>673.691489361702</v>
      </c>
      <c r="AA81">
        <f t="shared" si="14"/>
        <v>0.1519848</v>
      </c>
    </row>
    <row r="82" ht="54" spans="1:27">
      <c r="A82" s="5">
        <v>31</v>
      </c>
      <c r="B82" s="5" t="s">
        <v>25</v>
      </c>
      <c r="C82" s="5"/>
      <c r="D82" s="5">
        <f t="shared" si="9"/>
        <v>31</v>
      </c>
      <c r="E82" s="5" t="s">
        <v>26</v>
      </c>
      <c r="F82" s="6" t="s">
        <v>190</v>
      </c>
      <c r="G82" s="9" t="s">
        <v>102</v>
      </c>
      <c r="H82" s="9" t="s">
        <v>123</v>
      </c>
      <c r="I82" s="9" t="s">
        <v>114</v>
      </c>
      <c r="J82" s="9"/>
      <c r="K82" s="9" t="s">
        <v>31</v>
      </c>
      <c r="L82" s="9" t="s">
        <v>60</v>
      </c>
      <c r="M82" s="9" t="s">
        <v>118</v>
      </c>
      <c r="N82" s="13" t="s">
        <v>53</v>
      </c>
      <c r="O82" s="5">
        <v>31</v>
      </c>
      <c r="P82" s="5" t="s">
        <v>26</v>
      </c>
      <c r="Q82" s="19"/>
      <c r="R82" s="17"/>
      <c r="S82" s="17"/>
      <c r="T82" s="18">
        <v>13.4666666666667</v>
      </c>
      <c r="U82" s="18">
        <v>417.466666666668</v>
      </c>
      <c r="V82" s="16"/>
      <c r="W82">
        <f t="shared" si="10"/>
        <v>16.8333333333334</v>
      </c>
      <c r="X82">
        <f t="shared" si="11"/>
        <v>521.833333333335</v>
      </c>
      <c r="Y82">
        <f t="shared" si="12"/>
        <v>2.38770685579197</v>
      </c>
      <c r="Z82">
        <f t="shared" si="13"/>
        <v>74.018912529551</v>
      </c>
      <c r="AA82">
        <f t="shared" si="14"/>
        <v>0.0166986666666667</v>
      </c>
    </row>
    <row r="83" ht="54" spans="1:27">
      <c r="A83" s="5">
        <v>6</v>
      </c>
      <c r="B83" s="5" t="s">
        <v>25</v>
      </c>
      <c r="C83" s="5"/>
      <c r="D83" s="5">
        <f t="shared" si="9"/>
        <v>6</v>
      </c>
      <c r="E83" s="5" t="s">
        <v>26</v>
      </c>
      <c r="F83" s="6" t="s">
        <v>191</v>
      </c>
      <c r="G83" s="9" t="s">
        <v>102</v>
      </c>
      <c r="H83" s="9" t="s">
        <v>192</v>
      </c>
      <c r="I83" s="9" t="s">
        <v>193</v>
      </c>
      <c r="J83" s="9"/>
      <c r="K83" s="9" t="s">
        <v>31</v>
      </c>
      <c r="L83" s="9" t="s">
        <v>60</v>
      </c>
      <c r="M83" s="9" t="s">
        <v>118</v>
      </c>
      <c r="N83" s="13" t="s">
        <v>53</v>
      </c>
      <c r="O83" s="5">
        <v>6</v>
      </c>
      <c r="P83" s="5" t="s">
        <v>26</v>
      </c>
      <c r="Q83" s="19"/>
      <c r="R83" s="17"/>
      <c r="S83" s="17"/>
      <c r="T83" s="18">
        <v>390.533333333333</v>
      </c>
      <c r="U83" s="18">
        <v>2343.2</v>
      </c>
      <c r="V83" s="16"/>
      <c r="W83">
        <f t="shared" si="10"/>
        <v>488.166666666666</v>
      </c>
      <c r="X83">
        <f t="shared" si="11"/>
        <v>2929</v>
      </c>
      <c r="Y83">
        <f t="shared" si="12"/>
        <v>69.2434988179669</v>
      </c>
      <c r="Z83">
        <f t="shared" si="13"/>
        <v>415.460992907801</v>
      </c>
      <c r="AA83">
        <f t="shared" si="14"/>
        <v>0.093728</v>
      </c>
    </row>
    <row r="84" ht="54" spans="1:27">
      <c r="A84" s="5">
        <v>55</v>
      </c>
      <c r="B84" s="5" t="s">
        <v>25</v>
      </c>
      <c r="C84" s="5"/>
      <c r="D84" s="5">
        <f t="shared" si="9"/>
        <v>55</v>
      </c>
      <c r="E84" s="5" t="s">
        <v>26</v>
      </c>
      <c r="F84" s="6" t="s">
        <v>194</v>
      </c>
      <c r="G84" s="9" t="s">
        <v>102</v>
      </c>
      <c r="H84" s="9" t="s">
        <v>136</v>
      </c>
      <c r="I84" s="9" t="s">
        <v>137</v>
      </c>
      <c r="J84" s="9"/>
      <c r="K84" s="9" t="s">
        <v>31</v>
      </c>
      <c r="L84" s="9" t="s">
        <v>60</v>
      </c>
      <c r="M84" s="9" t="s">
        <v>118</v>
      </c>
      <c r="N84" s="13" t="s">
        <v>53</v>
      </c>
      <c r="O84" s="5">
        <v>55</v>
      </c>
      <c r="P84" s="5" t="s">
        <v>26</v>
      </c>
      <c r="Q84" s="19"/>
      <c r="R84" s="17"/>
      <c r="S84" s="17"/>
      <c r="T84" s="18">
        <v>28.0555555555556</v>
      </c>
      <c r="U84" s="18">
        <v>1543.05555555556</v>
      </c>
      <c r="V84" s="16"/>
      <c r="W84">
        <f t="shared" si="10"/>
        <v>35.0694444444445</v>
      </c>
      <c r="X84">
        <f t="shared" si="11"/>
        <v>1928.81944444445</v>
      </c>
      <c r="Y84">
        <f t="shared" si="12"/>
        <v>4.97438928289993</v>
      </c>
      <c r="Z84">
        <f t="shared" si="13"/>
        <v>273.591410559496</v>
      </c>
      <c r="AA84">
        <f t="shared" si="14"/>
        <v>0.0617222222222224</v>
      </c>
    </row>
    <row r="85" ht="54" spans="1:27">
      <c r="A85" s="5">
        <v>14</v>
      </c>
      <c r="B85" s="5" t="s">
        <v>25</v>
      </c>
      <c r="C85" s="5"/>
      <c r="D85" s="5">
        <f t="shared" si="9"/>
        <v>14</v>
      </c>
      <c r="E85" s="5" t="s">
        <v>26</v>
      </c>
      <c r="F85" s="6" t="s">
        <v>195</v>
      </c>
      <c r="G85" s="9" t="s">
        <v>102</v>
      </c>
      <c r="H85" s="9" t="s">
        <v>196</v>
      </c>
      <c r="I85" s="9" t="s">
        <v>108</v>
      </c>
      <c r="J85" s="9"/>
      <c r="K85" s="9" t="s">
        <v>31</v>
      </c>
      <c r="L85" s="9" t="s">
        <v>60</v>
      </c>
      <c r="M85" s="9" t="s">
        <v>118</v>
      </c>
      <c r="N85" s="13" t="s">
        <v>53</v>
      </c>
      <c r="O85" s="5">
        <v>14</v>
      </c>
      <c r="P85" s="5" t="s">
        <v>26</v>
      </c>
      <c r="Q85" s="19"/>
      <c r="R85" s="17"/>
      <c r="S85" s="17"/>
      <c r="T85" s="18">
        <v>44.8888888888889</v>
      </c>
      <c r="U85" s="18">
        <v>628.444444444445</v>
      </c>
      <c r="V85" s="16"/>
      <c r="W85">
        <f t="shared" si="10"/>
        <v>56.1111111111111</v>
      </c>
      <c r="X85">
        <f t="shared" si="11"/>
        <v>785.555555555556</v>
      </c>
      <c r="Y85">
        <f t="shared" si="12"/>
        <v>7.95902285263988</v>
      </c>
      <c r="Z85">
        <f t="shared" si="13"/>
        <v>111.426319936958</v>
      </c>
      <c r="AA85">
        <f t="shared" si="14"/>
        <v>0.0251377777777778</v>
      </c>
    </row>
    <row r="86" ht="54" spans="1:27">
      <c r="A86" s="5">
        <v>12</v>
      </c>
      <c r="B86" s="5" t="s">
        <v>25</v>
      </c>
      <c r="C86" s="5"/>
      <c r="D86" s="5">
        <f t="shared" si="9"/>
        <v>12</v>
      </c>
      <c r="E86" s="5" t="s">
        <v>26</v>
      </c>
      <c r="F86" s="6" t="s">
        <v>197</v>
      </c>
      <c r="G86" s="9" t="s">
        <v>102</v>
      </c>
      <c r="H86" s="9" t="s">
        <v>155</v>
      </c>
      <c r="I86" s="9" t="s">
        <v>111</v>
      </c>
      <c r="J86" s="9"/>
      <c r="K86" s="9" t="s">
        <v>31</v>
      </c>
      <c r="L86" s="9" t="s">
        <v>60</v>
      </c>
      <c r="M86" s="9" t="s">
        <v>118</v>
      </c>
      <c r="N86" s="13" t="s">
        <v>53</v>
      </c>
      <c r="O86" s="5">
        <v>12</v>
      </c>
      <c r="P86" s="5" t="s">
        <v>26</v>
      </c>
      <c r="Q86" s="19"/>
      <c r="R86" s="17"/>
      <c r="S86" s="17"/>
      <c r="T86" s="18">
        <v>43.7666666666667</v>
      </c>
      <c r="U86" s="18">
        <v>525.2</v>
      </c>
      <c r="V86" s="16"/>
      <c r="W86">
        <f t="shared" si="10"/>
        <v>54.7083333333334</v>
      </c>
      <c r="X86">
        <f t="shared" si="11"/>
        <v>656.500000000001</v>
      </c>
      <c r="Y86">
        <f t="shared" si="12"/>
        <v>7.76004728132388</v>
      </c>
      <c r="Z86">
        <f t="shared" si="13"/>
        <v>93.1205673758866</v>
      </c>
      <c r="AA86">
        <f t="shared" si="14"/>
        <v>0.021008</v>
      </c>
    </row>
    <row r="87" ht="54" spans="1:27">
      <c r="A87" s="5">
        <v>16</v>
      </c>
      <c r="B87" s="5" t="s">
        <v>25</v>
      </c>
      <c r="C87" s="5"/>
      <c r="D87" s="5">
        <f t="shared" si="9"/>
        <v>16</v>
      </c>
      <c r="E87" s="5" t="s">
        <v>26</v>
      </c>
      <c r="F87" s="6" t="s">
        <v>198</v>
      </c>
      <c r="G87" s="9" t="s">
        <v>102</v>
      </c>
      <c r="H87" s="9" t="s">
        <v>140</v>
      </c>
      <c r="I87" s="9" t="s">
        <v>111</v>
      </c>
      <c r="J87" s="9"/>
      <c r="K87" s="9" t="s">
        <v>31</v>
      </c>
      <c r="L87" s="9" t="s">
        <v>60</v>
      </c>
      <c r="M87" s="9" t="s">
        <v>118</v>
      </c>
      <c r="N87" s="13" t="s">
        <v>53</v>
      </c>
      <c r="O87" s="5">
        <v>16</v>
      </c>
      <c r="P87" s="5" t="s">
        <v>26</v>
      </c>
      <c r="Q87" s="19"/>
      <c r="R87" s="17"/>
      <c r="S87" s="17"/>
      <c r="T87" s="18">
        <v>58.3555555555556</v>
      </c>
      <c r="U87" s="18">
        <v>933.68888888889</v>
      </c>
      <c r="V87" s="16"/>
      <c r="W87">
        <f t="shared" si="10"/>
        <v>72.9444444444445</v>
      </c>
      <c r="X87">
        <f t="shared" si="11"/>
        <v>1167.11111111111</v>
      </c>
      <c r="Y87">
        <f t="shared" si="12"/>
        <v>10.3467297084318</v>
      </c>
      <c r="Z87">
        <f t="shared" si="13"/>
        <v>165.54767533491</v>
      </c>
      <c r="AA87">
        <f t="shared" si="14"/>
        <v>0.0373475555555556</v>
      </c>
    </row>
    <row r="88" ht="54" spans="1:27">
      <c r="A88" s="5">
        <v>5</v>
      </c>
      <c r="B88" s="5" t="s">
        <v>25</v>
      </c>
      <c r="C88" s="5"/>
      <c r="D88" s="5">
        <f t="shared" si="9"/>
        <v>5</v>
      </c>
      <c r="E88" s="5" t="s">
        <v>26</v>
      </c>
      <c r="F88" s="6" t="s">
        <v>199</v>
      </c>
      <c r="G88" s="9" t="s">
        <v>102</v>
      </c>
      <c r="H88" s="9" t="s">
        <v>200</v>
      </c>
      <c r="I88" s="9" t="s">
        <v>201</v>
      </c>
      <c r="J88" s="9"/>
      <c r="K88" s="9" t="s">
        <v>31</v>
      </c>
      <c r="L88" s="9" t="s">
        <v>60</v>
      </c>
      <c r="M88" s="9" t="s">
        <v>118</v>
      </c>
      <c r="N88" s="13" t="s">
        <v>53</v>
      </c>
      <c r="O88" s="5">
        <v>5</v>
      </c>
      <c r="P88" s="5" t="s">
        <v>26</v>
      </c>
      <c r="Q88" s="19"/>
      <c r="R88" s="17"/>
      <c r="S88" s="17"/>
      <c r="T88" s="18">
        <v>132.422222222222</v>
      </c>
      <c r="U88" s="18">
        <v>662.11111111111</v>
      </c>
      <c r="V88" s="16"/>
      <c r="W88">
        <f t="shared" si="10"/>
        <v>165.527777777777</v>
      </c>
      <c r="X88">
        <f t="shared" si="11"/>
        <v>827.638888888887</v>
      </c>
      <c r="Y88">
        <f t="shared" si="12"/>
        <v>23.4791174152876</v>
      </c>
      <c r="Z88">
        <f t="shared" si="13"/>
        <v>117.395587076438</v>
      </c>
      <c r="AA88">
        <f t="shared" si="14"/>
        <v>0.0264844444444444</v>
      </c>
    </row>
    <row r="89" ht="54" spans="1:27">
      <c r="A89" s="5">
        <v>8</v>
      </c>
      <c r="B89" s="5" t="s">
        <v>25</v>
      </c>
      <c r="C89" s="5"/>
      <c r="D89" s="5">
        <f t="shared" si="9"/>
        <v>8</v>
      </c>
      <c r="E89" s="5" t="s">
        <v>26</v>
      </c>
      <c r="F89" s="6" t="s">
        <v>202</v>
      </c>
      <c r="G89" s="9" t="s">
        <v>102</v>
      </c>
      <c r="H89" s="9" t="s">
        <v>159</v>
      </c>
      <c r="I89" s="9" t="s">
        <v>160</v>
      </c>
      <c r="J89" s="9"/>
      <c r="K89" s="9" t="s">
        <v>31</v>
      </c>
      <c r="L89" s="9" t="s">
        <v>60</v>
      </c>
      <c r="M89" s="9" t="s">
        <v>118</v>
      </c>
      <c r="N89" s="13" t="s">
        <v>53</v>
      </c>
      <c r="O89" s="5">
        <v>8</v>
      </c>
      <c r="P89" s="5" t="s">
        <v>26</v>
      </c>
      <c r="Q89" s="19"/>
      <c r="R89" s="17"/>
      <c r="S89" s="17"/>
      <c r="T89" s="18">
        <v>232.3</v>
      </c>
      <c r="U89" s="18">
        <v>1858.4</v>
      </c>
      <c r="V89" s="16"/>
      <c r="W89">
        <f t="shared" si="10"/>
        <v>290.375</v>
      </c>
      <c r="X89">
        <f t="shared" si="11"/>
        <v>2323</v>
      </c>
      <c r="Y89">
        <f t="shared" si="12"/>
        <v>41.1879432624114</v>
      </c>
      <c r="Z89">
        <f t="shared" si="13"/>
        <v>329.503546099291</v>
      </c>
      <c r="AA89">
        <f t="shared" si="14"/>
        <v>0.074336</v>
      </c>
    </row>
    <row r="90" ht="54" spans="1:27">
      <c r="A90" s="5">
        <v>61</v>
      </c>
      <c r="B90" s="5" t="s">
        <v>25</v>
      </c>
      <c r="C90" s="5"/>
      <c r="D90" s="5">
        <f t="shared" si="9"/>
        <v>61</v>
      </c>
      <c r="E90" s="5" t="s">
        <v>26</v>
      </c>
      <c r="F90" s="6" t="s">
        <v>203</v>
      </c>
      <c r="G90" s="9" t="s">
        <v>122</v>
      </c>
      <c r="H90" s="9" t="s">
        <v>204</v>
      </c>
      <c r="I90" s="9" t="s">
        <v>104</v>
      </c>
      <c r="J90" s="9"/>
      <c r="K90" s="9" t="s">
        <v>31</v>
      </c>
      <c r="L90" s="9" t="s">
        <v>60</v>
      </c>
      <c r="M90" s="9" t="s">
        <v>118</v>
      </c>
      <c r="N90" s="13" t="s">
        <v>53</v>
      </c>
      <c r="O90" s="5">
        <v>61</v>
      </c>
      <c r="P90" s="5" t="s">
        <v>26</v>
      </c>
      <c r="Q90" s="19"/>
      <c r="R90" s="17"/>
      <c r="S90" s="17"/>
      <c r="T90" s="18">
        <v>23.5666666666667</v>
      </c>
      <c r="U90" s="18">
        <v>1437.56666666667</v>
      </c>
      <c r="V90" s="16"/>
      <c r="W90">
        <f t="shared" si="10"/>
        <v>29.4583333333334</v>
      </c>
      <c r="X90">
        <f t="shared" si="11"/>
        <v>1796.95833333334</v>
      </c>
      <c r="Y90">
        <f t="shared" si="12"/>
        <v>4.17848699763594</v>
      </c>
      <c r="Z90">
        <f t="shared" si="13"/>
        <v>254.887706855792</v>
      </c>
      <c r="AA90">
        <f t="shared" si="14"/>
        <v>0.0575026666666668</v>
      </c>
    </row>
    <row r="91" ht="54" spans="1:27">
      <c r="A91" s="5">
        <v>6</v>
      </c>
      <c r="B91" s="5" t="s">
        <v>25</v>
      </c>
      <c r="C91" s="5"/>
      <c r="D91" s="5">
        <f t="shared" si="9"/>
        <v>6</v>
      </c>
      <c r="E91" s="5" t="s">
        <v>26</v>
      </c>
      <c r="F91" s="6" t="s">
        <v>205</v>
      </c>
      <c r="G91" s="9" t="s">
        <v>122</v>
      </c>
      <c r="H91" s="9" t="s">
        <v>192</v>
      </c>
      <c r="I91" s="9" t="s">
        <v>193</v>
      </c>
      <c r="J91" s="9"/>
      <c r="K91" s="9" t="s">
        <v>31</v>
      </c>
      <c r="L91" s="9" t="s">
        <v>60</v>
      </c>
      <c r="M91" s="9" t="s">
        <v>118</v>
      </c>
      <c r="N91" s="13" t="s">
        <v>53</v>
      </c>
      <c r="O91" s="5">
        <v>6</v>
      </c>
      <c r="P91" s="5" t="s">
        <v>26</v>
      </c>
      <c r="Q91" s="19"/>
      <c r="R91" s="17"/>
      <c r="S91" s="17"/>
      <c r="T91" s="18">
        <v>474.7</v>
      </c>
      <c r="U91" s="18">
        <v>2848.2</v>
      </c>
      <c r="V91" s="16"/>
      <c r="W91">
        <f t="shared" si="10"/>
        <v>593.375</v>
      </c>
      <c r="X91">
        <f t="shared" si="11"/>
        <v>3560.25</v>
      </c>
      <c r="Y91">
        <f t="shared" si="12"/>
        <v>84.1666666666667</v>
      </c>
      <c r="Z91">
        <f t="shared" si="13"/>
        <v>505</v>
      </c>
      <c r="AA91">
        <f t="shared" si="14"/>
        <v>0.113928</v>
      </c>
    </row>
    <row r="92" ht="54" spans="1:27">
      <c r="A92" s="5">
        <v>24</v>
      </c>
      <c r="B92" s="5" t="s">
        <v>25</v>
      </c>
      <c r="C92" s="5"/>
      <c r="D92" s="5">
        <f t="shared" si="9"/>
        <v>24</v>
      </c>
      <c r="E92" s="5" t="s">
        <v>26</v>
      </c>
      <c r="F92" s="6" t="s">
        <v>206</v>
      </c>
      <c r="G92" s="9" t="s">
        <v>122</v>
      </c>
      <c r="H92" s="9" t="s">
        <v>207</v>
      </c>
      <c r="I92" s="9" t="s">
        <v>208</v>
      </c>
      <c r="J92" s="9"/>
      <c r="K92" s="9" t="s">
        <v>31</v>
      </c>
      <c r="L92" s="9" t="s">
        <v>60</v>
      </c>
      <c r="M92" s="9" t="s">
        <v>118</v>
      </c>
      <c r="N92" s="13" t="s">
        <v>53</v>
      </c>
      <c r="O92" s="5">
        <v>24</v>
      </c>
      <c r="P92" s="5" t="s">
        <v>26</v>
      </c>
      <c r="Q92" s="19"/>
      <c r="R92" s="17"/>
      <c r="S92" s="17"/>
      <c r="T92" s="18">
        <v>397.266666666667</v>
      </c>
      <c r="U92" s="18">
        <v>9534.40000000001</v>
      </c>
      <c r="V92" s="16"/>
      <c r="W92">
        <f t="shared" si="10"/>
        <v>496.583333333334</v>
      </c>
      <c r="X92">
        <f t="shared" si="11"/>
        <v>11918</v>
      </c>
      <c r="Y92">
        <f t="shared" si="12"/>
        <v>70.4373522458629</v>
      </c>
      <c r="Z92">
        <f t="shared" si="13"/>
        <v>1690.49645390071</v>
      </c>
      <c r="AA92">
        <f t="shared" si="14"/>
        <v>0.381376</v>
      </c>
    </row>
    <row r="93" ht="54" spans="1:27">
      <c r="A93" s="5">
        <v>10</v>
      </c>
      <c r="B93" s="5" t="s">
        <v>25</v>
      </c>
      <c r="C93" s="5"/>
      <c r="D93" s="5">
        <f t="shared" si="9"/>
        <v>10</v>
      </c>
      <c r="E93" s="5" t="s">
        <v>26</v>
      </c>
      <c r="F93" s="6" t="s">
        <v>209</v>
      </c>
      <c r="G93" s="9" t="s">
        <v>122</v>
      </c>
      <c r="H93" s="9" t="s">
        <v>155</v>
      </c>
      <c r="I93" s="9" t="s">
        <v>111</v>
      </c>
      <c r="J93" s="9"/>
      <c r="K93" s="9" t="s">
        <v>31</v>
      </c>
      <c r="L93" s="9" t="s">
        <v>60</v>
      </c>
      <c r="M93" s="9" t="s">
        <v>118</v>
      </c>
      <c r="N93" s="13" t="s">
        <v>53</v>
      </c>
      <c r="O93" s="5">
        <v>10</v>
      </c>
      <c r="P93" s="5" t="s">
        <v>26</v>
      </c>
      <c r="Q93" s="19"/>
      <c r="R93" s="17"/>
      <c r="S93" s="17"/>
      <c r="T93" s="18">
        <v>51.6222222222222</v>
      </c>
      <c r="U93" s="18">
        <v>516.222222222222</v>
      </c>
      <c r="V93" s="16"/>
      <c r="W93">
        <f t="shared" si="10"/>
        <v>64.5277777777777</v>
      </c>
      <c r="X93">
        <f t="shared" si="11"/>
        <v>645.277777777777</v>
      </c>
      <c r="Y93">
        <f t="shared" si="12"/>
        <v>9.15287628053585</v>
      </c>
      <c r="Z93">
        <f t="shared" si="13"/>
        <v>91.5287628053585</v>
      </c>
      <c r="AA93">
        <f t="shared" si="14"/>
        <v>0.0206488888888889</v>
      </c>
    </row>
    <row r="94" ht="54" spans="1:27">
      <c r="A94" s="5">
        <v>1</v>
      </c>
      <c r="B94" s="5" t="s">
        <v>25</v>
      </c>
      <c r="C94" s="5"/>
      <c r="D94" s="5">
        <f t="shared" si="9"/>
        <v>1</v>
      </c>
      <c r="E94" s="5" t="s">
        <v>26</v>
      </c>
      <c r="F94" s="6" t="s">
        <v>210</v>
      </c>
      <c r="G94" s="9" t="s">
        <v>122</v>
      </c>
      <c r="H94" s="9" t="s">
        <v>211</v>
      </c>
      <c r="I94" s="9" t="s">
        <v>201</v>
      </c>
      <c r="J94" s="9"/>
      <c r="K94" s="9" t="s">
        <v>31</v>
      </c>
      <c r="L94" s="9" t="s">
        <v>60</v>
      </c>
      <c r="M94" s="9" t="s">
        <v>118</v>
      </c>
      <c r="N94" s="13" t="s">
        <v>53</v>
      </c>
      <c r="O94" s="5">
        <v>1</v>
      </c>
      <c r="P94" s="5" t="s">
        <v>26</v>
      </c>
      <c r="Q94" s="19"/>
      <c r="R94" s="17"/>
      <c r="S94" s="17"/>
      <c r="T94" s="18">
        <v>134.666666666667</v>
      </c>
      <c r="U94" s="18">
        <v>134.666666666667</v>
      </c>
      <c r="V94" s="16"/>
      <c r="W94">
        <f t="shared" si="10"/>
        <v>168.333333333334</v>
      </c>
      <c r="X94">
        <f t="shared" si="11"/>
        <v>168.333333333334</v>
      </c>
      <c r="Y94">
        <f t="shared" si="12"/>
        <v>23.8770685579197</v>
      </c>
      <c r="Z94">
        <f t="shared" si="13"/>
        <v>23.8770685579197</v>
      </c>
      <c r="AA94">
        <f t="shared" si="14"/>
        <v>0.00538666666666668</v>
      </c>
    </row>
    <row r="95" ht="54" spans="1:27">
      <c r="A95" s="5">
        <v>9</v>
      </c>
      <c r="B95" s="5" t="s">
        <v>25</v>
      </c>
      <c r="C95" s="5"/>
      <c r="D95" s="5">
        <f t="shared" si="9"/>
        <v>9</v>
      </c>
      <c r="E95" s="5" t="s">
        <v>26</v>
      </c>
      <c r="F95" s="6" t="s">
        <v>212</v>
      </c>
      <c r="G95" s="9" t="s">
        <v>122</v>
      </c>
      <c r="H95" s="9" t="s">
        <v>120</v>
      </c>
      <c r="I95" s="9" t="s">
        <v>117</v>
      </c>
      <c r="J95" s="9"/>
      <c r="K95" s="9" t="s">
        <v>31</v>
      </c>
      <c r="L95" s="9" t="s">
        <v>60</v>
      </c>
      <c r="M95" s="9" t="s">
        <v>118</v>
      </c>
      <c r="N95" s="13" t="s">
        <v>53</v>
      </c>
      <c r="O95" s="5">
        <v>9</v>
      </c>
      <c r="P95" s="5" t="s">
        <v>26</v>
      </c>
      <c r="Q95" s="19"/>
      <c r="R95" s="17"/>
      <c r="S95" s="17"/>
      <c r="T95" s="18">
        <v>231.177777777778</v>
      </c>
      <c r="U95" s="18">
        <v>2080.6</v>
      </c>
      <c r="V95" s="16"/>
      <c r="W95">
        <f t="shared" si="10"/>
        <v>288.972222222223</v>
      </c>
      <c r="X95">
        <f t="shared" si="11"/>
        <v>2600.75</v>
      </c>
      <c r="Y95">
        <f t="shared" si="12"/>
        <v>40.9889676910954</v>
      </c>
      <c r="Z95">
        <f t="shared" si="13"/>
        <v>368.900709219859</v>
      </c>
      <c r="AA95">
        <f t="shared" si="14"/>
        <v>0.083224</v>
      </c>
    </row>
    <row r="96" ht="108" spans="1:27">
      <c r="A96" s="5">
        <v>12</v>
      </c>
      <c r="B96" s="5" t="s">
        <v>25</v>
      </c>
      <c r="C96" s="5"/>
      <c r="D96" s="5">
        <f t="shared" si="9"/>
        <v>12</v>
      </c>
      <c r="E96" s="5" t="s">
        <v>26</v>
      </c>
      <c r="F96" s="6" t="s">
        <v>213</v>
      </c>
      <c r="G96" s="9" t="s">
        <v>122</v>
      </c>
      <c r="H96" s="9" t="s">
        <v>214</v>
      </c>
      <c r="I96" s="9" t="s">
        <v>215</v>
      </c>
      <c r="J96" s="9"/>
      <c r="K96" s="9" t="s">
        <v>216</v>
      </c>
      <c r="L96" s="9" t="s">
        <v>217</v>
      </c>
      <c r="M96" s="9" t="s">
        <v>218</v>
      </c>
      <c r="N96" s="13" t="s">
        <v>53</v>
      </c>
      <c r="O96" s="5">
        <v>12</v>
      </c>
      <c r="P96" s="5" t="s">
        <v>26</v>
      </c>
      <c r="Q96" s="19"/>
      <c r="R96" s="17"/>
      <c r="S96" s="17"/>
      <c r="T96" s="18">
        <v>1279.33333333333</v>
      </c>
      <c r="U96" s="18">
        <v>15352</v>
      </c>
      <c r="V96" s="16" t="s">
        <v>81</v>
      </c>
      <c r="W96">
        <f t="shared" si="10"/>
        <v>1599.16666666666</v>
      </c>
      <c r="X96">
        <f t="shared" si="11"/>
        <v>19190</v>
      </c>
      <c r="Y96">
        <f t="shared" si="12"/>
        <v>226.832151300236</v>
      </c>
      <c r="Z96">
        <f t="shared" si="13"/>
        <v>2721.98581560283</v>
      </c>
      <c r="AA96">
        <f t="shared" si="14"/>
        <v>0.61408</v>
      </c>
    </row>
    <row r="97" ht="88.8" spans="1:27">
      <c r="A97" s="5">
        <v>67</v>
      </c>
      <c r="B97" s="5" t="s">
        <v>25</v>
      </c>
      <c r="C97" s="5"/>
      <c r="D97" s="5">
        <f t="shared" si="9"/>
        <v>67</v>
      </c>
      <c r="E97" s="5" t="s">
        <v>26</v>
      </c>
      <c r="F97" s="6" t="s">
        <v>219</v>
      </c>
      <c r="G97" s="9" t="s">
        <v>39</v>
      </c>
      <c r="H97" s="9" t="s">
        <v>72</v>
      </c>
      <c r="I97" s="9" t="s">
        <v>64</v>
      </c>
      <c r="J97" s="9"/>
      <c r="K97" s="9" t="s">
        <v>31</v>
      </c>
      <c r="L97" s="9" t="s">
        <v>60</v>
      </c>
      <c r="M97" s="9" t="s">
        <v>220</v>
      </c>
      <c r="N97" s="13" t="s">
        <v>53</v>
      </c>
      <c r="O97" s="5">
        <v>67</v>
      </c>
      <c r="P97" s="5" t="s">
        <v>26</v>
      </c>
      <c r="Q97" s="19"/>
      <c r="R97" s="17"/>
      <c r="S97" s="17"/>
      <c r="T97" s="18">
        <v>35.9111111111111</v>
      </c>
      <c r="U97" s="18">
        <v>2406.04444444444</v>
      </c>
      <c r="V97" s="16"/>
      <c r="W97">
        <f t="shared" si="10"/>
        <v>44.8888888888889</v>
      </c>
      <c r="X97">
        <f t="shared" si="11"/>
        <v>3007.55555555555</v>
      </c>
      <c r="Y97">
        <f t="shared" si="12"/>
        <v>6.3672182821119</v>
      </c>
      <c r="Z97">
        <f t="shared" si="13"/>
        <v>426.603624901497</v>
      </c>
      <c r="AA97">
        <f t="shared" si="14"/>
        <v>0.0962417777777776</v>
      </c>
    </row>
    <row r="98" ht="54" spans="1:27">
      <c r="A98" s="5">
        <v>66</v>
      </c>
      <c r="B98" s="5" t="s">
        <v>25</v>
      </c>
      <c r="C98" s="5"/>
      <c r="D98" s="5">
        <f t="shared" si="9"/>
        <v>66</v>
      </c>
      <c r="E98" s="5" t="s">
        <v>26</v>
      </c>
      <c r="F98" s="6" t="s">
        <v>221</v>
      </c>
      <c r="G98" s="9" t="s">
        <v>39</v>
      </c>
      <c r="H98" s="9" t="s">
        <v>74</v>
      </c>
      <c r="I98" s="9" t="s">
        <v>75</v>
      </c>
      <c r="J98" s="9"/>
      <c r="K98" s="9" t="s">
        <v>31</v>
      </c>
      <c r="L98" s="9" t="s">
        <v>60</v>
      </c>
      <c r="M98" s="9" t="s">
        <v>142</v>
      </c>
      <c r="N98" s="13" t="s">
        <v>53</v>
      </c>
      <c r="O98" s="5">
        <v>66</v>
      </c>
      <c r="P98" s="5" t="s">
        <v>26</v>
      </c>
      <c r="Q98" s="19"/>
      <c r="R98" s="17"/>
      <c r="S98" s="17"/>
      <c r="T98" s="18">
        <v>42.6444444444444</v>
      </c>
      <c r="U98" s="18">
        <v>2814.53333333333</v>
      </c>
      <c r="V98" s="16"/>
      <c r="W98">
        <f t="shared" si="10"/>
        <v>53.3055555555555</v>
      </c>
      <c r="X98">
        <f t="shared" si="11"/>
        <v>3518.16666666666</v>
      </c>
      <c r="Y98">
        <f t="shared" si="12"/>
        <v>7.56107171000787</v>
      </c>
      <c r="Z98">
        <f t="shared" si="13"/>
        <v>499.03073286052</v>
      </c>
      <c r="AA98">
        <f t="shared" si="14"/>
        <v>0.112581333333333</v>
      </c>
    </row>
    <row r="99" ht="54" spans="1:27">
      <c r="A99" s="5">
        <v>37</v>
      </c>
      <c r="B99" s="5" t="s">
        <v>25</v>
      </c>
      <c r="C99" s="5"/>
      <c r="D99" s="5">
        <f t="shared" si="9"/>
        <v>37</v>
      </c>
      <c r="E99" s="5" t="s">
        <v>26</v>
      </c>
      <c r="F99" s="6" t="s">
        <v>222</v>
      </c>
      <c r="G99" s="9" t="s">
        <v>39</v>
      </c>
      <c r="H99" s="9" t="s">
        <v>79</v>
      </c>
      <c r="I99" s="9" t="s">
        <v>80</v>
      </c>
      <c r="J99" s="9"/>
      <c r="K99" s="9" t="s">
        <v>31</v>
      </c>
      <c r="L99" s="9" t="s">
        <v>60</v>
      </c>
      <c r="M99" s="9" t="s">
        <v>142</v>
      </c>
      <c r="N99" s="13" t="s">
        <v>53</v>
      </c>
      <c r="O99" s="5">
        <v>37</v>
      </c>
      <c r="P99" s="5" t="s">
        <v>26</v>
      </c>
      <c r="Q99" s="19"/>
      <c r="R99" s="17"/>
      <c r="S99" s="17"/>
      <c r="T99" s="18">
        <v>1153.64444444444</v>
      </c>
      <c r="U99" s="18">
        <v>42684.8444444443</v>
      </c>
      <c r="V99" s="16" t="s">
        <v>81</v>
      </c>
      <c r="W99">
        <f t="shared" si="10"/>
        <v>1442.05555555555</v>
      </c>
      <c r="X99">
        <f t="shared" si="11"/>
        <v>53356.0555555554</v>
      </c>
      <c r="Y99">
        <f t="shared" si="12"/>
        <v>204.546887312844</v>
      </c>
      <c r="Z99">
        <f t="shared" si="13"/>
        <v>7568.23483057523</v>
      </c>
      <c r="AA99">
        <f t="shared" si="14"/>
        <v>1.70739377777777</v>
      </c>
    </row>
    <row r="100" ht="69.6" spans="1:27">
      <c r="A100" s="5">
        <v>6</v>
      </c>
      <c r="B100" s="5" t="s">
        <v>25</v>
      </c>
      <c r="C100" s="5"/>
      <c r="D100" s="5">
        <f t="shared" ref="D100:D120" si="15">A100</f>
        <v>6</v>
      </c>
      <c r="E100" s="5" t="s">
        <v>26</v>
      </c>
      <c r="F100" s="6" t="s">
        <v>223</v>
      </c>
      <c r="G100" s="9" t="s">
        <v>150</v>
      </c>
      <c r="H100" s="9" t="s">
        <v>192</v>
      </c>
      <c r="I100" s="9" t="s">
        <v>193</v>
      </c>
      <c r="J100" s="9"/>
      <c r="K100" s="9" t="s">
        <v>31</v>
      </c>
      <c r="L100" s="9" t="s">
        <v>60</v>
      </c>
      <c r="M100" s="9" t="s">
        <v>224</v>
      </c>
      <c r="N100" s="13" t="s">
        <v>53</v>
      </c>
      <c r="O100" s="5">
        <v>6</v>
      </c>
      <c r="P100" s="5" t="s">
        <v>26</v>
      </c>
      <c r="Q100" s="19"/>
      <c r="R100" s="17"/>
      <c r="S100" s="17"/>
      <c r="T100" s="18">
        <v>1149.15555555556</v>
      </c>
      <c r="U100" s="18">
        <v>6894.93333333336</v>
      </c>
      <c r="V100" s="16" t="s">
        <v>81</v>
      </c>
      <c r="W100">
        <f t="shared" si="10"/>
        <v>1436.44444444445</v>
      </c>
      <c r="X100">
        <f t="shared" si="11"/>
        <v>8618.6666666667</v>
      </c>
      <c r="Y100">
        <f t="shared" si="12"/>
        <v>203.750985027582</v>
      </c>
      <c r="Z100">
        <f t="shared" si="13"/>
        <v>1222.50591016549</v>
      </c>
      <c r="AA100">
        <f t="shared" ref="AA100:AA120" si="16">U100/25000</f>
        <v>0.275797333333334</v>
      </c>
    </row>
    <row r="101" ht="69.6" spans="1:27">
      <c r="A101" s="5">
        <v>12</v>
      </c>
      <c r="B101" s="5" t="s">
        <v>25</v>
      </c>
      <c r="C101" s="5"/>
      <c r="D101" s="5">
        <f t="shared" si="15"/>
        <v>12</v>
      </c>
      <c r="E101" s="5" t="s">
        <v>26</v>
      </c>
      <c r="F101" s="6" t="s">
        <v>225</v>
      </c>
      <c r="G101" s="9" t="s">
        <v>150</v>
      </c>
      <c r="H101" s="9" t="s">
        <v>207</v>
      </c>
      <c r="I101" s="9" t="s">
        <v>208</v>
      </c>
      <c r="J101" s="9"/>
      <c r="K101" s="9" t="s">
        <v>31</v>
      </c>
      <c r="L101" s="9" t="s">
        <v>60</v>
      </c>
      <c r="M101" s="9" t="s">
        <v>224</v>
      </c>
      <c r="N101" s="13" t="s">
        <v>53</v>
      </c>
      <c r="O101" s="5">
        <v>12</v>
      </c>
      <c r="P101" s="5" t="s">
        <v>26</v>
      </c>
      <c r="Q101" s="19"/>
      <c r="R101" s="17"/>
      <c r="S101" s="17"/>
      <c r="T101" s="18">
        <v>1151.4</v>
      </c>
      <c r="U101" s="18">
        <v>13816.8</v>
      </c>
      <c r="V101" s="16" t="s">
        <v>81</v>
      </c>
      <c r="W101">
        <f t="shared" si="10"/>
        <v>1439.25</v>
      </c>
      <c r="X101">
        <f t="shared" si="11"/>
        <v>17271</v>
      </c>
      <c r="Y101">
        <f t="shared" si="12"/>
        <v>204.148936170213</v>
      </c>
      <c r="Z101">
        <f t="shared" si="13"/>
        <v>2449.78723404255</v>
      </c>
      <c r="AA101">
        <f t="shared" si="16"/>
        <v>0.552672</v>
      </c>
    </row>
    <row r="102" ht="69.6" spans="1:27">
      <c r="A102" s="5">
        <v>25</v>
      </c>
      <c r="B102" s="5" t="s">
        <v>25</v>
      </c>
      <c r="C102" s="5"/>
      <c r="D102" s="5">
        <f t="shared" si="15"/>
        <v>25</v>
      </c>
      <c r="E102" s="5" t="s">
        <v>26</v>
      </c>
      <c r="F102" s="6" t="s">
        <v>226</v>
      </c>
      <c r="G102" s="9" t="s">
        <v>150</v>
      </c>
      <c r="H102" s="9" t="s">
        <v>196</v>
      </c>
      <c r="I102" s="9" t="s">
        <v>108</v>
      </c>
      <c r="J102" s="9"/>
      <c r="K102" s="9" t="s">
        <v>31</v>
      </c>
      <c r="L102" s="9" t="s">
        <v>60</v>
      </c>
      <c r="M102" s="9" t="s">
        <v>224</v>
      </c>
      <c r="N102" s="13" t="s">
        <v>53</v>
      </c>
      <c r="O102" s="5">
        <v>25</v>
      </c>
      <c r="P102" s="5" t="s">
        <v>26</v>
      </c>
      <c r="Q102" s="19"/>
      <c r="R102" s="17"/>
      <c r="S102" s="17"/>
      <c r="T102" s="18">
        <v>104.366666666667</v>
      </c>
      <c r="U102" s="18">
        <v>2609.16666666668</v>
      </c>
      <c r="V102" s="16"/>
      <c r="W102">
        <f t="shared" si="10"/>
        <v>130.458333333334</v>
      </c>
      <c r="X102">
        <f t="shared" si="11"/>
        <v>3261.45833333334</v>
      </c>
      <c r="Y102">
        <f t="shared" si="12"/>
        <v>18.5047281323878</v>
      </c>
      <c r="Z102">
        <f t="shared" si="13"/>
        <v>462.618203309694</v>
      </c>
      <c r="AA102">
        <f t="shared" si="16"/>
        <v>0.104366666666667</v>
      </c>
    </row>
    <row r="103" ht="69.6" spans="1:27">
      <c r="A103" s="5">
        <v>8</v>
      </c>
      <c r="B103" s="5" t="s">
        <v>25</v>
      </c>
      <c r="C103" s="5"/>
      <c r="D103" s="5">
        <f t="shared" si="15"/>
        <v>8</v>
      </c>
      <c r="E103" s="5" t="s">
        <v>26</v>
      </c>
      <c r="F103" s="6" t="s">
        <v>227</v>
      </c>
      <c r="G103" s="9" t="s">
        <v>150</v>
      </c>
      <c r="H103" s="9" t="s">
        <v>200</v>
      </c>
      <c r="I103" s="9" t="s">
        <v>201</v>
      </c>
      <c r="J103" s="9"/>
      <c r="K103" s="9" t="s">
        <v>31</v>
      </c>
      <c r="L103" s="9" t="s">
        <v>60</v>
      </c>
      <c r="M103" s="9" t="s">
        <v>224</v>
      </c>
      <c r="N103" s="13" t="s">
        <v>53</v>
      </c>
      <c r="O103" s="5">
        <v>8</v>
      </c>
      <c r="P103" s="5" t="s">
        <v>26</v>
      </c>
      <c r="Q103" s="19"/>
      <c r="R103" s="17"/>
      <c r="S103" s="17"/>
      <c r="T103" s="18">
        <v>357.988888888889</v>
      </c>
      <c r="U103" s="18">
        <v>2863.91111111111</v>
      </c>
      <c r="V103" s="16"/>
      <c r="W103">
        <f t="shared" si="10"/>
        <v>447.486111111111</v>
      </c>
      <c r="X103">
        <f t="shared" si="11"/>
        <v>3579.88888888889</v>
      </c>
      <c r="Y103">
        <f t="shared" si="12"/>
        <v>63.473207249803</v>
      </c>
      <c r="Z103">
        <f t="shared" si="13"/>
        <v>507.785657998424</v>
      </c>
      <c r="AA103">
        <f t="shared" si="16"/>
        <v>0.114556444444444</v>
      </c>
    </row>
    <row r="104" ht="69.6" spans="1:27">
      <c r="A104" s="5">
        <v>26</v>
      </c>
      <c r="B104" s="5" t="s">
        <v>25</v>
      </c>
      <c r="C104" s="5"/>
      <c r="D104" s="5">
        <f t="shared" si="15"/>
        <v>26</v>
      </c>
      <c r="E104" s="5" t="s">
        <v>26</v>
      </c>
      <c r="F104" s="6" t="s">
        <v>228</v>
      </c>
      <c r="G104" s="9" t="s">
        <v>150</v>
      </c>
      <c r="H104" s="9" t="s">
        <v>211</v>
      </c>
      <c r="I104" s="9" t="s">
        <v>201</v>
      </c>
      <c r="J104" s="9"/>
      <c r="K104" s="9" t="s">
        <v>31</v>
      </c>
      <c r="L104" s="9" t="s">
        <v>60</v>
      </c>
      <c r="M104" s="9" t="s">
        <v>224</v>
      </c>
      <c r="N104" s="13" t="s">
        <v>53</v>
      </c>
      <c r="O104" s="5">
        <v>26</v>
      </c>
      <c r="P104" s="5" t="s">
        <v>26</v>
      </c>
      <c r="Q104" s="19"/>
      <c r="R104" s="17"/>
      <c r="S104" s="17"/>
      <c r="T104" s="18">
        <v>363.6</v>
      </c>
      <c r="U104" s="18">
        <v>9453.6</v>
      </c>
      <c r="V104" s="16"/>
      <c r="W104">
        <f t="shared" si="10"/>
        <v>454.5</v>
      </c>
      <c r="X104">
        <f t="shared" si="11"/>
        <v>11817</v>
      </c>
      <c r="Y104">
        <f t="shared" si="12"/>
        <v>64.468085106383</v>
      </c>
      <c r="Z104">
        <f t="shared" si="13"/>
        <v>1676.17021276596</v>
      </c>
      <c r="AA104">
        <f t="shared" si="16"/>
        <v>0.378144</v>
      </c>
    </row>
    <row r="105" ht="69.6" spans="1:27">
      <c r="A105" s="5">
        <v>1</v>
      </c>
      <c r="B105" s="5" t="s">
        <v>25</v>
      </c>
      <c r="C105" s="5"/>
      <c r="D105" s="5">
        <f t="shared" si="15"/>
        <v>1</v>
      </c>
      <c r="E105" s="5" t="s">
        <v>26</v>
      </c>
      <c r="F105" s="6" t="s">
        <v>229</v>
      </c>
      <c r="G105" s="9" t="s">
        <v>150</v>
      </c>
      <c r="H105" s="9" t="s">
        <v>120</v>
      </c>
      <c r="I105" s="9" t="s">
        <v>117</v>
      </c>
      <c r="J105" s="9"/>
      <c r="K105" s="9" t="s">
        <v>31</v>
      </c>
      <c r="L105" s="9" t="s">
        <v>60</v>
      </c>
      <c r="M105" s="9" t="s">
        <v>224</v>
      </c>
      <c r="N105" s="13" t="s">
        <v>53</v>
      </c>
      <c r="O105" s="5">
        <v>1</v>
      </c>
      <c r="P105" s="5" t="s">
        <v>26</v>
      </c>
      <c r="Q105" s="19"/>
      <c r="R105" s="17"/>
      <c r="S105" s="17"/>
      <c r="T105" s="18">
        <v>639.666666666667</v>
      </c>
      <c r="U105" s="18">
        <v>639.666666666667</v>
      </c>
      <c r="V105" s="16"/>
      <c r="W105">
        <f t="shared" si="10"/>
        <v>799.583333333334</v>
      </c>
      <c r="X105">
        <f t="shared" si="11"/>
        <v>799.583333333334</v>
      </c>
      <c r="Y105">
        <f t="shared" si="12"/>
        <v>113.416075650118</v>
      </c>
      <c r="Z105">
        <f t="shared" si="13"/>
        <v>113.416075650118</v>
      </c>
      <c r="AA105">
        <f t="shared" si="16"/>
        <v>0.0255866666666667</v>
      </c>
    </row>
    <row r="106" ht="108" spans="1:27">
      <c r="A106" s="5">
        <v>18</v>
      </c>
      <c r="B106" s="5" t="s">
        <v>25</v>
      </c>
      <c r="C106" s="5"/>
      <c r="D106" s="5">
        <f t="shared" si="15"/>
        <v>18</v>
      </c>
      <c r="E106" s="5" t="s">
        <v>26</v>
      </c>
      <c r="F106" s="6" t="s">
        <v>230</v>
      </c>
      <c r="G106" s="9" t="s">
        <v>150</v>
      </c>
      <c r="H106" s="9" t="s">
        <v>231</v>
      </c>
      <c r="I106" s="9" t="s">
        <v>232</v>
      </c>
      <c r="J106" s="9"/>
      <c r="K106" s="9" t="s">
        <v>216</v>
      </c>
      <c r="L106" s="9" t="s">
        <v>217</v>
      </c>
      <c r="M106" s="9" t="s">
        <v>233</v>
      </c>
      <c r="N106" s="13" t="s">
        <v>53</v>
      </c>
      <c r="O106" s="5">
        <v>18</v>
      </c>
      <c r="P106" s="5" t="s">
        <v>26</v>
      </c>
      <c r="Q106" s="19"/>
      <c r="R106" s="17"/>
      <c r="S106" s="17"/>
      <c r="T106" s="18">
        <v>2020</v>
      </c>
      <c r="U106" s="18">
        <v>36360</v>
      </c>
      <c r="V106" s="16" t="s">
        <v>81</v>
      </c>
      <c r="W106">
        <f t="shared" si="10"/>
        <v>2525</v>
      </c>
      <c r="X106">
        <f t="shared" si="11"/>
        <v>45450</v>
      </c>
      <c r="Y106">
        <f t="shared" si="12"/>
        <v>358.156028368794</v>
      </c>
      <c r="Z106">
        <f t="shared" si="13"/>
        <v>6446.8085106383</v>
      </c>
      <c r="AA106">
        <f t="shared" si="16"/>
        <v>1.4544</v>
      </c>
    </row>
    <row r="107" ht="108" spans="1:27">
      <c r="A107" s="5">
        <v>18</v>
      </c>
      <c r="B107" s="5" t="s">
        <v>25</v>
      </c>
      <c r="C107" s="5"/>
      <c r="D107" s="5">
        <f t="shared" si="15"/>
        <v>18</v>
      </c>
      <c r="E107" s="5" t="s">
        <v>26</v>
      </c>
      <c r="F107" s="6" t="s">
        <v>234</v>
      </c>
      <c r="G107" s="9" t="s">
        <v>162</v>
      </c>
      <c r="H107" s="9" t="s">
        <v>126</v>
      </c>
      <c r="I107" s="9"/>
      <c r="J107" s="9" t="s">
        <v>94</v>
      </c>
      <c r="K107" s="9" t="s">
        <v>99</v>
      </c>
      <c r="L107" s="9" t="s">
        <v>95</v>
      </c>
      <c r="M107" s="9" t="s">
        <v>164</v>
      </c>
      <c r="N107" s="13" t="s">
        <v>53</v>
      </c>
      <c r="O107" s="5">
        <v>18</v>
      </c>
      <c r="P107" s="5" t="s">
        <v>26</v>
      </c>
      <c r="Q107" s="19"/>
      <c r="R107" s="17"/>
      <c r="S107" s="17"/>
      <c r="T107" s="18">
        <v>65.65</v>
      </c>
      <c r="U107" s="18">
        <v>1181.7</v>
      </c>
      <c r="V107" s="16"/>
      <c r="W107">
        <f t="shared" si="10"/>
        <v>82.0625</v>
      </c>
      <c r="X107">
        <f t="shared" si="11"/>
        <v>1477.125</v>
      </c>
      <c r="Y107">
        <f t="shared" si="12"/>
        <v>11.6400709219858</v>
      </c>
      <c r="Z107">
        <f t="shared" si="13"/>
        <v>209.521276595745</v>
      </c>
      <c r="AA107">
        <f t="shared" si="16"/>
        <v>0.047268</v>
      </c>
    </row>
    <row r="108" ht="108" spans="1:27">
      <c r="A108" s="5">
        <v>220</v>
      </c>
      <c r="B108" s="5" t="s">
        <v>25</v>
      </c>
      <c r="C108" s="5"/>
      <c r="D108" s="5">
        <f t="shared" si="15"/>
        <v>220</v>
      </c>
      <c r="E108" s="5" t="s">
        <v>26</v>
      </c>
      <c r="F108" s="6" t="s">
        <v>235</v>
      </c>
      <c r="G108" s="9" t="s">
        <v>162</v>
      </c>
      <c r="H108" s="9" t="s">
        <v>236</v>
      </c>
      <c r="I108" s="9"/>
      <c r="J108" s="9" t="s">
        <v>94</v>
      </c>
      <c r="K108" s="9" t="s">
        <v>99</v>
      </c>
      <c r="L108" s="9" t="s">
        <v>95</v>
      </c>
      <c r="M108" s="9" t="s">
        <v>164</v>
      </c>
      <c r="N108" s="13" t="s">
        <v>53</v>
      </c>
      <c r="O108" s="5">
        <v>220</v>
      </c>
      <c r="P108" s="5" t="s">
        <v>26</v>
      </c>
      <c r="Q108" s="19"/>
      <c r="R108" s="17"/>
      <c r="S108" s="17"/>
      <c r="T108" s="18">
        <v>126.25</v>
      </c>
      <c r="U108" s="18">
        <v>27775</v>
      </c>
      <c r="V108" s="16"/>
      <c r="W108">
        <f t="shared" si="10"/>
        <v>157.8125</v>
      </c>
      <c r="X108">
        <f t="shared" si="11"/>
        <v>34718.75</v>
      </c>
      <c r="Y108">
        <f t="shared" si="12"/>
        <v>22.3847517730496</v>
      </c>
      <c r="Z108">
        <f t="shared" si="13"/>
        <v>4924.64539007092</v>
      </c>
      <c r="AA108">
        <f t="shared" si="16"/>
        <v>1.111</v>
      </c>
    </row>
    <row r="109" ht="66" spans="1:27">
      <c r="A109" s="5">
        <v>114</v>
      </c>
      <c r="B109" s="5" t="s">
        <v>25</v>
      </c>
      <c r="C109" s="5"/>
      <c r="D109" s="5">
        <f t="shared" si="15"/>
        <v>114</v>
      </c>
      <c r="E109" s="5" t="s">
        <v>26</v>
      </c>
      <c r="F109" s="6" t="s">
        <v>237</v>
      </c>
      <c r="G109" s="9" t="s">
        <v>42</v>
      </c>
      <c r="H109" s="9" t="s">
        <v>79</v>
      </c>
      <c r="I109" s="9" t="s">
        <v>80</v>
      </c>
      <c r="J109" s="9" t="s">
        <v>98</v>
      </c>
      <c r="K109" s="9" t="s">
        <v>44</v>
      </c>
      <c r="L109" s="9" t="s">
        <v>95</v>
      </c>
      <c r="M109" s="9" t="s">
        <v>238</v>
      </c>
      <c r="N109" s="13" t="s">
        <v>53</v>
      </c>
      <c r="O109" s="5">
        <v>114</v>
      </c>
      <c r="P109" s="5" t="s">
        <v>26</v>
      </c>
      <c r="Q109" s="19"/>
      <c r="R109" s="17"/>
      <c r="S109" s="17"/>
      <c r="T109" s="18">
        <v>699.93</v>
      </c>
      <c r="U109" s="18">
        <v>79792.02</v>
      </c>
      <c r="V109" s="16"/>
      <c r="W109">
        <f t="shared" si="10"/>
        <v>874.9125</v>
      </c>
      <c r="X109">
        <f t="shared" si="11"/>
        <v>99740.025</v>
      </c>
      <c r="Y109">
        <f t="shared" si="12"/>
        <v>124.101063829787</v>
      </c>
      <c r="Z109">
        <f t="shared" si="13"/>
        <v>14147.5212765957</v>
      </c>
      <c r="AA109">
        <f t="shared" si="16"/>
        <v>3.1916808</v>
      </c>
    </row>
    <row r="110" ht="66" spans="1:27">
      <c r="A110" s="5">
        <v>143</v>
      </c>
      <c r="B110" s="5" t="s">
        <v>25</v>
      </c>
      <c r="C110" s="5"/>
      <c r="D110" s="5">
        <f t="shared" si="15"/>
        <v>143</v>
      </c>
      <c r="E110" s="5" t="s">
        <v>26</v>
      </c>
      <c r="F110" s="6" t="s">
        <v>239</v>
      </c>
      <c r="G110" s="9" t="s">
        <v>42</v>
      </c>
      <c r="H110" s="9" t="s">
        <v>72</v>
      </c>
      <c r="I110" s="9" t="s">
        <v>64</v>
      </c>
      <c r="J110" s="9" t="s">
        <v>94</v>
      </c>
      <c r="K110" s="9" t="s">
        <v>44</v>
      </c>
      <c r="L110" s="9" t="s">
        <v>95</v>
      </c>
      <c r="M110" s="9" t="s">
        <v>240</v>
      </c>
      <c r="N110" s="13" t="s">
        <v>53</v>
      </c>
      <c r="O110" s="5">
        <v>143</v>
      </c>
      <c r="P110" s="5" t="s">
        <v>26</v>
      </c>
      <c r="Q110" s="19"/>
      <c r="R110" s="17"/>
      <c r="S110" s="17"/>
      <c r="T110" s="18">
        <v>65.65</v>
      </c>
      <c r="U110" s="18">
        <v>9387.95</v>
      </c>
      <c r="V110" s="16"/>
      <c r="W110">
        <f t="shared" si="10"/>
        <v>82.0625</v>
      </c>
      <c r="X110">
        <f t="shared" si="11"/>
        <v>11734.9375</v>
      </c>
      <c r="Y110">
        <f t="shared" si="12"/>
        <v>11.6400709219858</v>
      </c>
      <c r="Z110">
        <f t="shared" si="13"/>
        <v>1664.53014184397</v>
      </c>
      <c r="AA110">
        <f t="shared" si="16"/>
        <v>0.375518</v>
      </c>
    </row>
    <row r="111" ht="66" spans="1:27">
      <c r="A111" s="5">
        <v>514</v>
      </c>
      <c r="B111" s="5" t="s">
        <v>25</v>
      </c>
      <c r="C111" s="5"/>
      <c r="D111" s="5">
        <f t="shared" si="15"/>
        <v>514</v>
      </c>
      <c r="E111" s="5" t="s">
        <v>26</v>
      </c>
      <c r="F111" s="6" t="s">
        <v>241</v>
      </c>
      <c r="G111" s="9" t="s">
        <v>42</v>
      </c>
      <c r="H111" s="9" t="s">
        <v>74</v>
      </c>
      <c r="I111" s="9" t="s">
        <v>75</v>
      </c>
      <c r="J111" s="9" t="s">
        <v>94</v>
      </c>
      <c r="K111" s="9" t="s">
        <v>44</v>
      </c>
      <c r="L111" s="9" t="s">
        <v>95</v>
      </c>
      <c r="M111" s="9" t="s">
        <v>242</v>
      </c>
      <c r="N111" s="13" t="s">
        <v>53</v>
      </c>
      <c r="O111" s="5">
        <v>514</v>
      </c>
      <c r="P111" s="5" t="s">
        <v>26</v>
      </c>
      <c r="Q111" s="19"/>
      <c r="R111" s="17"/>
      <c r="S111" s="17"/>
      <c r="T111" s="18">
        <v>92.92</v>
      </c>
      <c r="U111" s="18">
        <v>47760.88</v>
      </c>
      <c r="V111" s="16"/>
      <c r="W111">
        <f t="shared" si="10"/>
        <v>116.15</v>
      </c>
      <c r="X111">
        <f t="shared" si="11"/>
        <v>59701.1</v>
      </c>
      <c r="Y111">
        <f t="shared" si="12"/>
        <v>16.4751773049645</v>
      </c>
      <c r="Z111">
        <f t="shared" si="13"/>
        <v>8468.24113475177</v>
      </c>
      <c r="AA111">
        <f t="shared" si="16"/>
        <v>1.9104352</v>
      </c>
    </row>
    <row r="112" ht="76.8" spans="1:27">
      <c r="A112" s="5">
        <v>14</v>
      </c>
      <c r="B112" s="10" t="s">
        <v>25</v>
      </c>
      <c r="C112" s="10"/>
      <c r="D112" s="5">
        <f t="shared" si="15"/>
        <v>14</v>
      </c>
      <c r="E112" s="5" t="s">
        <v>26</v>
      </c>
      <c r="F112" s="20" t="s">
        <v>243</v>
      </c>
      <c r="G112" s="9" t="s">
        <v>37</v>
      </c>
      <c r="H112" s="9" t="s">
        <v>69</v>
      </c>
      <c r="I112" s="9" t="s">
        <v>64</v>
      </c>
      <c r="J112" s="9"/>
      <c r="K112" s="9" t="s">
        <v>31</v>
      </c>
      <c r="L112" s="9" t="s">
        <v>60</v>
      </c>
      <c r="M112" s="9" t="s">
        <v>244</v>
      </c>
      <c r="N112" s="13" t="s">
        <v>53</v>
      </c>
      <c r="O112" s="5">
        <v>14</v>
      </c>
      <c r="P112" s="5" t="s">
        <v>26</v>
      </c>
      <c r="Q112" s="10"/>
      <c r="R112" s="17"/>
      <c r="S112" s="17"/>
      <c r="T112" s="18">
        <v>11.2222222222222</v>
      </c>
      <c r="U112" s="18">
        <v>157.111111111111</v>
      </c>
      <c r="V112" s="16"/>
      <c r="W112">
        <f t="shared" si="10"/>
        <v>14.0277777777778</v>
      </c>
      <c r="X112">
        <f t="shared" si="11"/>
        <v>196.388888888889</v>
      </c>
      <c r="Y112">
        <f t="shared" si="12"/>
        <v>1.98975571315996</v>
      </c>
      <c r="Z112">
        <f t="shared" si="13"/>
        <v>27.8565799842395</v>
      </c>
      <c r="AA112">
        <f t="shared" si="16"/>
        <v>0.00628444444444444</v>
      </c>
    </row>
    <row r="113" ht="69.6" spans="1:27">
      <c r="A113" s="5">
        <v>13</v>
      </c>
      <c r="B113" s="10" t="s">
        <v>25</v>
      </c>
      <c r="C113" s="10"/>
      <c r="D113" s="5">
        <f t="shared" si="15"/>
        <v>13</v>
      </c>
      <c r="E113" s="5" t="s">
        <v>26</v>
      </c>
      <c r="F113" s="20" t="s">
        <v>245</v>
      </c>
      <c r="G113" s="9" t="s">
        <v>150</v>
      </c>
      <c r="H113" s="9" t="s">
        <v>126</v>
      </c>
      <c r="I113" s="9" t="s">
        <v>114</v>
      </c>
      <c r="J113" s="9"/>
      <c r="K113" s="9" t="s">
        <v>31</v>
      </c>
      <c r="L113" s="9" t="s">
        <v>60</v>
      </c>
      <c r="M113" s="9" t="s">
        <v>224</v>
      </c>
      <c r="N113" s="13" t="s">
        <v>53</v>
      </c>
      <c r="O113" s="5">
        <v>13</v>
      </c>
      <c r="P113" s="5" t="s">
        <v>26</v>
      </c>
      <c r="Q113" s="10"/>
      <c r="R113" s="17"/>
      <c r="S113" s="17"/>
      <c r="T113" s="18">
        <v>35.9111111111111</v>
      </c>
      <c r="U113" s="18">
        <v>466.844444444444</v>
      </c>
      <c r="V113" s="16"/>
      <c r="W113">
        <f t="shared" si="10"/>
        <v>44.8888888888889</v>
      </c>
      <c r="X113">
        <f t="shared" si="11"/>
        <v>583.555555555555</v>
      </c>
      <c r="Y113">
        <f t="shared" si="12"/>
        <v>6.3672182821119</v>
      </c>
      <c r="Z113">
        <f t="shared" si="13"/>
        <v>82.7738376674547</v>
      </c>
      <c r="AA113">
        <f t="shared" si="16"/>
        <v>0.0186737777777778</v>
      </c>
    </row>
    <row r="114" ht="54" spans="1:27">
      <c r="A114" s="5">
        <v>4</v>
      </c>
      <c r="B114" s="10" t="s">
        <v>25</v>
      </c>
      <c r="C114" s="10"/>
      <c r="D114" s="5">
        <f t="shared" si="15"/>
        <v>4</v>
      </c>
      <c r="E114" s="5" t="s">
        <v>26</v>
      </c>
      <c r="F114" s="20" t="s">
        <v>246</v>
      </c>
      <c r="G114" s="9" t="s">
        <v>28</v>
      </c>
      <c r="H114" s="9" t="s">
        <v>77</v>
      </c>
      <c r="I114" s="9" t="s">
        <v>64</v>
      </c>
      <c r="J114" s="9"/>
      <c r="K114" s="9" t="s">
        <v>31</v>
      </c>
      <c r="L114" s="9" t="s">
        <v>60</v>
      </c>
      <c r="M114" s="9" t="s">
        <v>247</v>
      </c>
      <c r="N114" s="13" t="s">
        <v>53</v>
      </c>
      <c r="O114" s="5">
        <v>4</v>
      </c>
      <c r="P114" s="5" t="s">
        <v>26</v>
      </c>
      <c r="Q114" s="10"/>
      <c r="R114" s="17"/>
      <c r="S114" s="17"/>
      <c r="T114" s="18">
        <v>22.4444444444444</v>
      </c>
      <c r="U114" s="18">
        <v>89.7777777777776</v>
      </c>
      <c r="V114" s="16"/>
      <c r="W114">
        <f t="shared" si="10"/>
        <v>28.0555555555555</v>
      </c>
      <c r="X114">
        <f t="shared" si="11"/>
        <v>112.222222222222</v>
      </c>
      <c r="Y114">
        <f t="shared" si="12"/>
        <v>3.97951142631993</v>
      </c>
      <c r="Z114">
        <f t="shared" si="13"/>
        <v>15.9180457052797</v>
      </c>
      <c r="AA114">
        <f t="shared" si="16"/>
        <v>0.0035911111111111</v>
      </c>
    </row>
    <row r="115" ht="54" spans="1:27">
      <c r="A115" s="5">
        <v>7</v>
      </c>
      <c r="B115" s="10" t="s">
        <v>25</v>
      </c>
      <c r="C115" s="10"/>
      <c r="D115" s="5">
        <f t="shared" si="15"/>
        <v>7</v>
      </c>
      <c r="E115" s="5" t="s">
        <v>26</v>
      </c>
      <c r="F115" s="20" t="s">
        <v>248</v>
      </c>
      <c r="G115" s="9" t="s">
        <v>102</v>
      </c>
      <c r="H115" s="9" t="s">
        <v>126</v>
      </c>
      <c r="I115" s="9" t="s">
        <v>114</v>
      </c>
      <c r="J115" s="9"/>
      <c r="K115" s="9" t="s">
        <v>31</v>
      </c>
      <c r="L115" s="9" t="s">
        <v>60</v>
      </c>
      <c r="M115" s="9" t="s">
        <v>118</v>
      </c>
      <c r="N115" s="13" t="s">
        <v>53</v>
      </c>
      <c r="O115" s="5">
        <v>7</v>
      </c>
      <c r="P115" s="5" t="s">
        <v>26</v>
      </c>
      <c r="Q115" s="10"/>
      <c r="R115" s="17"/>
      <c r="S115" s="17"/>
      <c r="T115" s="18">
        <v>15.7111111111111</v>
      </c>
      <c r="U115" s="18">
        <v>109.977777777778</v>
      </c>
      <c r="V115" s="16"/>
      <c r="W115">
        <f t="shared" si="10"/>
        <v>19.6388888888889</v>
      </c>
      <c r="X115">
        <f t="shared" si="11"/>
        <v>137.472222222222</v>
      </c>
      <c r="Y115">
        <f t="shared" si="12"/>
        <v>2.78565799842395</v>
      </c>
      <c r="Z115">
        <f t="shared" si="13"/>
        <v>19.4996059889677</v>
      </c>
      <c r="AA115">
        <f t="shared" si="16"/>
        <v>0.00439911111111112</v>
      </c>
    </row>
    <row r="116" ht="69.6" spans="1:27">
      <c r="A116" s="5">
        <v>10</v>
      </c>
      <c r="B116" s="10" t="s">
        <v>25</v>
      </c>
      <c r="C116" s="10"/>
      <c r="D116" s="5">
        <f t="shared" si="15"/>
        <v>10</v>
      </c>
      <c r="E116" s="5" t="s">
        <v>26</v>
      </c>
      <c r="F116" s="20" t="s">
        <v>249</v>
      </c>
      <c r="G116" s="9" t="s">
        <v>102</v>
      </c>
      <c r="H116" s="9" t="s">
        <v>204</v>
      </c>
      <c r="I116" s="9" t="s">
        <v>104</v>
      </c>
      <c r="J116" s="9"/>
      <c r="K116" s="9" t="s">
        <v>31</v>
      </c>
      <c r="L116" s="9" t="s">
        <v>60</v>
      </c>
      <c r="M116" s="9" t="s">
        <v>250</v>
      </c>
      <c r="N116" s="13" t="s">
        <v>53</v>
      </c>
      <c r="O116" s="5">
        <v>10</v>
      </c>
      <c r="P116" s="5" t="s">
        <v>26</v>
      </c>
      <c r="Q116" s="10"/>
      <c r="R116" s="17"/>
      <c r="S116" s="17"/>
      <c r="T116" s="18">
        <v>17.9555555555556</v>
      </c>
      <c r="U116" s="18">
        <v>179.555555555556</v>
      </c>
      <c r="V116" s="16"/>
      <c r="W116">
        <f t="shared" si="10"/>
        <v>22.4444444444445</v>
      </c>
      <c r="X116">
        <f t="shared" si="11"/>
        <v>224.444444444445</v>
      </c>
      <c r="Y116">
        <f t="shared" si="12"/>
        <v>3.18360914105596</v>
      </c>
      <c r="Z116">
        <f t="shared" si="13"/>
        <v>31.8360914105596</v>
      </c>
      <c r="AA116">
        <f t="shared" si="16"/>
        <v>0.00718222222222224</v>
      </c>
    </row>
    <row r="117" ht="54" spans="1:27">
      <c r="A117" s="5">
        <v>2</v>
      </c>
      <c r="B117" s="10" t="s">
        <v>25</v>
      </c>
      <c r="C117" s="10"/>
      <c r="D117" s="5">
        <f t="shared" si="15"/>
        <v>2</v>
      </c>
      <c r="E117" s="5" t="s">
        <v>26</v>
      </c>
      <c r="F117" s="20" t="s">
        <v>251</v>
      </c>
      <c r="G117" s="9" t="s">
        <v>28</v>
      </c>
      <c r="H117" s="9" t="s">
        <v>69</v>
      </c>
      <c r="I117" s="9" t="s">
        <v>64</v>
      </c>
      <c r="J117" s="9"/>
      <c r="K117" s="9" t="s">
        <v>31</v>
      </c>
      <c r="L117" s="9" t="s">
        <v>60</v>
      </c>
      <c r="M117" s="9" t="s">
        <v>61</v>
      </c>
      <c r="N117" s="13" t="s">
        <v>53</v>
      </c>
      <c r="O117" s="5">
        <v>2</v>
      </c>
      <c r="P117" s="5" t="s">
        <v>26</v>
      </c>
      <c r="Q117" s="10"/>
      <c r="R117" s="17"/>
      <c r="S117" s="17"/>
      <c r="T117" s="18">
        <v>11.2222222222222</v>
      </c>
      <c r="U117" s="18">
        <v>22.4444444444444</v>
      </c>
      <c r="V117" s="16"/>
      <c r="W117">
        <f t="shared" si="10"/>
        <v>14.0277777777778</v>
      </c>
      <c r="X117">
        <f t="shared" si="11"/>
        <v>28.0555555555555</v>
      </c>
      <c r="Y117">
        <f t="shared" si="12"/>
        <v>1.98975571315996</v>
      </c>
      <c r="Z117">
        <f t="shared" si="13"/>
        <v>3.97951142631993</v>
      </c>
      <c r="AA117">
        <f t="shared" si="16"/>
        <v>0.000897777777777776</v>
      </c>
    </row>
    <row r="118" ht="54" spans="1:27">
      <c r="A118" s="5">
        <v>1</v>
      </c>
      <c r="B118" s="10" t="s">
        <v>25</v>
      </c>
      <c r="C118" s="10"/>
      <c r="D118" s="5">
        <f t="shared" si="15"/>
        <v>1</v>
      </c>
      <c r="E118" s="5" t="s">
        <v>26</v>
      </c>
      <c r="F118" s="20" t="s">
        <v>252</v>
      </c>
      <c r="G118" s="9" t="s">
        <v>253</v>
      </c>
      <c r="H118" s="9" t="s">
        <v>57</v>
      </c>
      <c r="I118" s="9" t="s">
        <v>55</v>
      </c>
      <c r="J118" s="9"/>
      <c r="K118" s="9" t="s">
        <v>254</v>
      </c>
      <c r="L118" s="9" t="s">
        <v>95</v>
      </c>
      <c r="M118" s="9" t="s">
        <v>255</v>
      </c>
      <c r="N118" s="13" t="s">
        <v>53</v>
      </c>
      <c r="O118" s="5">
        <v>1</v>
      </c>
      <c r="P118" s="5" t="s">
        <v>26</v>
      </c>
      <c r="Q118" s="10"/>
      <c r="R118" s="17"/>
      <c r="S118" s="17"/>
      <c r="T118" s="18">
        <v>48.2555555555556</v>
      </c>
      <c r="U118" s="18">
        <v>48.2555555555556</v>
      </c>
      <c r="V118" s="16"/>
      <c r="W118">
        <f t="shared" si="10"/>
        <v>60.3194444444445</v>
      </c>
      <c r="X118">
        <f t="shared" si="11"/>
        <v>60.3194444444445</v>
      </c>
      <c r="Y118">
        <f t="shared" si="12"/>
        <v>8.55594956658787</v>
      </c>
      <c r="Z118">
        <f t="shared" si="13"/>
        <v>8.55594956658787</v>
      </c>
      <c r="AA118">
        <f t="shared" si="16"/>
        <v>0.00193022222222222</v>
      </c>
    </row>
    <row r="119" ht="54" spans="1:27">
      <c r="A119" s="5">
        <v>6</v>
      </c>
      <c r="B119" s="10" t="s">
        <v>25</v>
      </c>
      <c r="C119" s="10"/>
      <c r="D119" s="5">
        <f t="shared" si="15"/>
        <v>6</v>
      </c>
      <c r="E119" s="5" t="s">
        <v>26</v>
      </c>
      <c r="F119" s="20" t="s">
        <v>256</v>
      </c>
      <c r="G119" s="9" t="s">
        <v>253</v>
      </c>
      <c r="H119" s="9" t="s">
        <v>59</v>
      </c>
      <c r="I119" s="9" t="s">
        <v>55</v>
      </c>
      <c r="J119" s="9"/>
      <c r="K119" s="9" t="s">
        <v>254</v>
      </c>
      <c r="L119" s="9" t="s">
        <v>95</v>
      </c>
      <c r="M119" s="9" t="s">
        <v>255</v>
      </c>
      <c r="N119" s="13" t="s">
        <v>53</v>
      </c>
      <c r="O119" s="5">
        <v>6</v>
      </c>
      <c r="P119" s="5" t="s">
        <v>26</v>
      </c>
      <c r="Q119" s="10"/>
      <c r="R119" s="17"/>
      <c r="S119" s="17"/>
      <c r="T119" s="18">
        <v>68.4555555555555</v>
      </c>
      <c r="U119" s="18">
        <v>410.733333333333</v>
      </c>
      <c r="V119" s="16"/>
      <c r="W119">
        <f t="shared" si="10"/>
        <v>85.5694444444444</v>
      </c>
      <c r="X119">
        <f t="shared" si="11"/>
        <v>513.416666666666</v>
      </c>
      <c r="Y119">
        <f t="shared" si="12"/>
        <v>12.1375098502758</v>
      </c>
      <c r="Z119">
        <f t="shared" si="13"/>
        <v>72.8250591016548</v>
      </c>
      <c r="AA119">
        <f t="shared" si="16"/>
        <v>0.0164293333333333</v>
      </c>
    </row>
    <row r="120" ht="127.2" spans="1:27">
      <c r="A120" s="5">
        <v>34</v>
      </c>
      <c r="B120" s="10" t="s">
        <v>25</v>
      </c>
      <c r="C120" s="10"/>
      <c r="D120" s="5">
        <f t="shared" si="15"/>
        <v>34</v>
      </c>
      <c r="E120" s="5" t="s">
        <v>26</v>
      </c>
      <c r="F120" s="20" t="s">
        <v>257</v>
      </c>
      <c r="G120" s="9" t="s">
        <v>258</v>
      </c>
      <c r="H120" s="9" t="s">
        <v>259</v>
      </c>
      <c r="I120" s="9" t="s">
        <v>75</v>
      </c>
      <c r="J120" s="9" t="s">
        <v>260</v>
      </c>
      <c r="K120" s="9" t="s">
        <v>261</v>
      </c>
      <c r="L120" s="9" t="s">
        <v>262</v>
      </c>
      <c r="M120" s="9" t="s">
        <v>263</v>
      </c>
      <c r="N120" s="13" t="s">
        <v>53</v>
      </c>
      <c r="O120" s="5">
        <v>34</v>
      </c>
      <c r="P120" s="5" t="s">
        <v>26</v>
      </c>
      <c r="Q120" s="10"/>
      <c r="R120" s="17"/>
      <c r="S120" s="17"/>
      <c r="T120" s="18">
        <v>434.888888888889</v>
      </c>
      <c r="U120" s="18">
        <v>14786.2222222222</v>
      </c>
      <c r="V120" s="16"/>
      <c r="W120">
        <f t="shared" si="10"/>
        <v>543.611111111111</v>
      </c>
      <c r="X120">
        <f t="shared" si="11"/>
        <v>18482.7777777778</v>
      </c>
      <c r="Y120">
        <f t="shared" si="12"/>
        <v>77.1079590228527</v>
      </c>
      <c r="Z120">
        <f t="shared" si="13"/>
        <v>2621.67060677699</v>
      </c>
      <c r="AA120">
        <f t="shared" si="16"/>
        <v>0.591448888888888</v>
      </c>
    </row>
    <row r="121" ht="127.2" spans="1:27">
      <c r="A121" s="5">
        <v>2</v>
      </c>
      <c r="B121" s="10" t="s">
        <v>25</v>
      </c>
      <c r="C121" s="10"/>
      <c r="D121" s="5">
        <f t="shared" ref="D121:D132" si="17">A121</f>
        <v>2</v>
      </c>
      <c r="E121" s="5" t="s">
        <v>26</v>
      </c>
      <c r="F121" s="20" t="s">
        <v>264</v>
      </c>
      <c r="G121" s="9" t="s">
        <v>37</v>
      </c>
      <c r="H121" s="9" t="s">
        <v>59</v>
      </c>
      <c r="I121" s="9" t="s">
        <v>265</v>
      </c>
      <c r="J121" s="9"/>
      <c r="K121" s="9" t="s">
        <v>266</v>
      </c>
      <c r="L121" s="9" t="s">
        <v>267</v>
      </c>
      <c r="M121" s="9" t="s">
        <v>268</v>
      </c>
      <c r="N121" s="13" t="s">
        <v>53</v>
      </c>
      <c r="O121" s="5">
        <v>2</v>
      </c>
      <c r="P121" s="5" t="s">
        <v>26</v>
      </c>
      <c r="Q121" s="10"/>
      <c r="R121" s="17"/>
      <c r="S121" s="17"/>
      <c r="T121" s="18">
        <v>180.677777777778</v>
      </c>
      <c r="U121" s="18">
        <v>361.355555555556</v>
      </c>
      <c r="V121" s="16"/>
      <c r="W121">
        <f t="shared" si="10"/>
        <v>225.847222222223</v>
      </c>
      <c r="X121">
        <f t="shared" si="11"/>
        <v>451.694444444445</v>
      </c>
      <c r="Y121">
        <f t="shared" si="12"/>
        <v>32.0350669818755</v>
      </c>
      <c r="Z121">
        <f t="shared" si="13"/>
        <v>64.0701339637511</v>
      </c>
      <c r="AA121">
        <f>U121/35000</f>
        <v>0.0103244444444445</v>
      </c>
    </row>
    <row r="122" ht="127.2" spans="1:27">
      <c r="A122" s="5">
        <v>3</v>
      </c>
      <c r="B122" s="10" t="s">
        <v>25</v>
      </c>
      <c r="C122" s="10"/>
      <c r="D122" s="5">
        <f t="shared" si="17"/>
        <v>3</v>
      </c>
      <c r="E122" s="5" t="s">
        <v>26</v>
      </c>
      <c r="F122" s="20" t="s">
        <v>269</v>
      </c>
      <c r="G122" s="9" t="s">
        <v>37</v>
      </c>
      <c r="H122" s="9" t="s">
        <v>63</v>
      </c>
      <c r="I122" s="9" t="s">
        <v>265</v>
      </c>
      <c r="J122" s="9"/>
      <c r="K122" s="9" t="s">
        <v>266</v>
      </c>
      <c r="L122" s="9" t="s">
        <v>267</v>
      </c>
      <c r="M122" s="9" t="s">
        <v>268</v>
      </c>
      <c r="N122" s="13" t="s">
        <v>53</v>
      </c>
      <c r="O122" s="5">
        <v>3</v>
      </c>
      <c r="P122" s="5" t="s">
        <v>26</v>
      </c>
      <c r="Q122" s="10"/>
      <c r="R122" s="17"/>
      <c r="S122" s="17"/>
      <c r="T122" s="18">
        <v>471.333333333333</v>
      </c>
      <c r="U122" s="18">
        <v>1414</v>
      </c>
      <c r="V122" s="16"/>
      <c r="W122">
        <f t="shared" si="10"/>
        <v>589.166666666666</v>
      </c>
      <c r="X122">
        <f t="shared" si="11"/>
        <v>1767.5</v>
      </c>
      <c r="Y122">
        <f t="shared" si="12"/>
        <v>83.5697399527186</v>
      </c>
      <c r="Z122">
        <f t="shared" si="13"/>
        <v>250.709219858156</v>
      </c>
      <c r="AA122">
        <f>U122/35000</f>
        <v>0.0404</v>
      </c>
    </row>
    <row r="123" ht="54" spans="1:27">
      <c r="A123" s="5">
        <v>5</v>
      </c>
      <c r="B123" s="10" t="s">
        <v>25</v>
      </c>
      <c r="C123" s="10"/>
      <c r="D123" s="5">
        <f t="shared" si="17"/>
        <v>5</v>
      </c>
      <c r="E123" s="5" t="s">
        <v>26</v>
      </c>
      <c r="F123" s="6" t="s">
        <v>270</v>
      </c>
      <c r="G123" s="9" t="s">
        <v>93</v>
      </c>
      <c r="H123" s="9" t="s">
        <v>72</v>
      </c>
      <c r="I123" s="9"/>
      <c r="J123" s="9" t="s">
        <v>94</v>
      </c>
      <c r="K123" s="9" t="s">
        <v>44</v>
      </c>
      <c r="L123" s="9" t="s">
        <v>95</v>
      </c>
      <c r="M123" s="9" t="s">
        <v>271</v>
      </c>
      <c r="N123" s="13" t="s">
        <v>53</v>
      </c>
      <c r="O123" s="5">
        <v>5</v>
      </c>
      <c r="P123" s="5" t="s">
        <v>26</v>
      </c>
      <c r="Q123" s="19"/>
      <c r="R123" s="17"/>
      <c r="S123" s="17"/>
      <c r="T123" s="18">
        <v>55.55</v>
      </c>
      <c r="U123" s="18">
        <v>277.75</v>
      </c>
      <c r="V123" s="16"/>
      <c r="W123">
        <f t="shared" si="10"/>
        <v>69.4375</v>
      </c>
      <c r="X123">
        <f t="shared" si="11"/>
        <v>347.1875</v>
      </c>
      <c r="Y123">
        <f t="shared" si="12"/>
        <v>9.84929078014184</v>
      </c>
      <c r="Z123">
        <f t="shared" si="13"/>
        <v>49.2464539007092</v>
      </c>
      <c r="AA123">
        <f t="shared" ref="AA123:AA154" si="18">U123/25000</f>
        <v>0.01111</v>
      </c>
    </row>
    <row r="124" ht="88.8" spans="1:27">
      <c r="A124" s="5">
        <v>1</v>
      </c>
      <c r="B124" s="10" t="s">
        <v>25</v>
      </c>
      <c r="C124" s="10"/>
      <c r="D124" s="5">
        <f t="shared" si="17"/>
        <v>1</v>
      </c>
      <c r="E124" s="5" t="s">
        <v>26</v>
      </c>
      <c r="F124" s="6" t="s">
        <v>272</v>
      </c>
      <c r="G124" s="9" t="s">
        <v>273</v>
      </c>
      <c r="H124" s="9" t="s">
        <v>77</v>
      </c>
      <c r="I124" s="9"/>
      <c r="J124" s="9" t="s">
        <v>274</v>
      </c>
      <c r="K124" s="9" t="s">
        <v>167</v>
      </c>
      <c r="L124" s="9" t="s">
        <v>95</v>
      </c>
      <c r="M124" s="9" t="s">
        <v>275</v>
      </c>
      <c r="N124" s="13" t="s">
        <v>53</v>
      </c>
      <c r="O124" s="5">
        <v>1</v>
      </c>
      <c r="P124" s="5" t="s">
        <v>26</v>
      </c>
      <c r="Q124" s="19"/>
      <c r="R124" s="17"/>
      <c r="S124" s="17"/>
      <c r="T124" s="18">
        <v>62.9444444444444</v>
      </c>
      <c r="U124" s="18">
        <v>62.9444444444444</v>
      </c>
      <c r="V124" s="16"/>
      <c r="W124">
        <f t="shared" si="10"/>
        <v>78.6805555555555</v>
      </c>
      <c r="X124">
        <f t="shared" si="11"/>
        <v>78.6805555555555</v>
      </c>
      <c r="Y124">
        <f t="shared" si="12"/>
        <v>11.1603624901497</v>
      </c>
      <c r="Z124">
        <f t="shared" si="13"/>
        <v>11.1603624901497</v>
      </c>
      <c r="AA124">
        <f t="shared" si="18"/>
        <v>0.00251777777777778</v>
      </c>
    </row>
    <row r="125" ht="88.8" spans="1:27">
      <c r="A125" s="5">
        <v>6</v>
      </c>
      <c r="B125" s="10" t="s">
        <v>25</v>
      </c>
      <c r="C125" s="10"/>
      <c r="D125" s="5">
        <f t="shared" si="17"/>
        <v>6</v>
      </c>
      <c r="E125" s="5" t="s">
        <v>26</v>
      </c>
      <c r="F125" s="6" t="s">
        <v>276</v>
      </c>
      <c r="G125" s="9" t="s">
        <v>277</v>
      </c>
      <c r="H125" s="9" t="s">
        <v>74</v>
      </c>
      <c r="I125" s="9"/>
      <c r="J125" s="9"/>
      <c r="K125" s="9" t="s">
        <v>261</v>
      </c>
      <c r="L125" s="9" t="s">
        <v>262</v>
      </c>
      <c r="M125" s="9" t="s">
        <v>278</v>
      </c>
      <c r="N125" s="13" t="s">
        <v>53</v>
      </c>
      <c r="O125" s="5">
        <v>6</v>
      </c>
      <c r="P125" s="5" t="s">
        <v>26</v>
      </c>
      <c r="Q125" s="19"/>
      <c r="R125" s="17"/>
      <c r="S125" s="17"/>
      <c r="T125" s="18"/>
      <c r="U125" s="18"/>
      <c r="V125" s="16" t="s">
        <v>279</v>
      </c>
      <c r="W125">
        <f t="shared" si="10"/>
        <v>0</v>
      </c>
      <c r="X125">
        <f t="shared" si="11"/>
        <v>0</v>
      </c>
      <c r="Y125">
        <f t="shared" si="12"/>
        <v>0</v>
      </c>
      <c r="Z125">
        <f t="shared" si="13"/>
        <v>0</v>
      </c>
      <c r="AA125">
        <f t="shared" si="18"/>
        <v>0</v>
      </c>
    </row>
    <row r="126" ht="88.8" spans="1:27">
      <c r="A126" s="5">
        <v>1</v>
      </c>
      <c r="B126" s="10" t="s">
        <v>25</v>
      </c>
      <c r="C126" s="10"/>
      <c r="D126" s="5">
        <f t="shared" si="17"/>
        <v>1</v>
      </c>
      <c r="E126" s="5" t="s">
        <v>26</v>
      </c>
      <c r="F126" s="6" t="s">
        <v>280</v>
      </c>
      <c r="G126" s="9" t="s">
        <v>277</v>
      </c>
      <c r="H126" s="9" t="s">
        <v>29</v>
      </c>
      <c r="I126" s="9"/>
      <c r="J126" s="9"/>
      <c r="K126" s="9" t="s">
        <v>261</v>
      </c>
      <c r="L126" s="9" t="s">
        <v>262</v>
      </c>
      <c r="M126" s="9" t="s">
        <v>278</v>
      </c>
      <c r="N126" s="13" t="s">
        <v>53</v>
      </c>
      <c r="O126" s="5">
        <v>1</v>
      </c>
      <c r="P126" s="5" t="s">
        <v>26</v>
      </c>
      <c r="Q126" s="19"/>
      <c r="R126" s="17"/>
      <c r="S126" s="17"/>
      <c r="T126" s="18"/>
      <c r="U126" s="18"/>
      <c r="V126" s="16" t="s">
        <v>279</v>
      </c>
      <c r="W126">
        <f t="shared" si="10"/>
        <v>0</v>
      </c>
      <c r="X126">
        <f t="shared" si="11"/>
        <v>0</v>
      </c>
      <c r="Y126">
        <f t="shared" si="12"/>
        <v>0</v>
      </c>
      <c r="Z126">
        <f t="shared" si="13"/>
        <v>0</v>
      </c>
      <c r="AA126">
        <f t="shared" si="18"/>
        <v>0</v>
      </c>
    </row>
    <row r="127" ht="88.8" spans="1:27">
      <c r="A127" s="5">
        <v>4</v>
      </c>
      <c r="B127" s="10" t="s">
        <v>25</v>
      </c>
      <c r="C127" s="10"/>
      <c r="D127" s="5">
        <f t="shared" si="17"/>
        <v>4</v>
      </c>
      <c r="E127" s="5" t="s">
        <v>26</v>
      </c>
      <c r="F127" s="6" t="s">
        <v>281</v>
      </c>
      <c r="G127" s="9" t="s">
        <v>277</v>
      </c>
      <c r="H127" s="9" t="s">
        <v>57</v>
      </c>
      <c r="I127" s="9"/>
      <c r="J127" s="9"/>
      <c r="K127" s="9" t="s">
        <v>261</v>
      </c>
      <c r="L127" s="9" t="s">
        <v>262</v>
      </c>
      <c r="M127" s="9" t="s">
        <v>278</v>
      </c>
      <c r="N127" s="13" t="s">
        <v>53</v>
      </c>
      <c r="O127" s="5">
        <v>4</v>
      </c>
      <c r="P127" s="5" t="s">
        <v>26</v>
      </c>
      <c r="Q127" s="19"/>
      <c r="R127" s="17"/>
      <c r="S127" s="17"/>
      <c r="T127" s="18"/>
      <c r="U127" s="18"/>
      <c r="V127" s="16" t="s">
        <v>279</v>
      </c>
      <c r="W127">
        <f t="shared" si="10"/>
        <v>0</v>
      </c>
      <c r="X127">
        <f t="shared" si="11"/>
        <v>0</v>
      </c>
      <c r="Y127">
        <f t="shared" si="12"/>
        <v>0</v>
      </c>
      <c r="Z127">
        <f t="shared" si="13"/>
        <v>0</v>
      </c>
      <c r="AA127">
        <f t="shared" si="18"/>
        <v>0</v>
      </c>
    </row>
    <row r="128" ht="108" spans="1:27">
      <c r="A128" s="5">
        <v>148</v>
      </c>
      <c r="B128" s="10" t="s">
        <v>25</v>
      </c>
      <c r="C128" s="10"/>
      <c r="D128" s="5">
        <f t="shared" si="17"/>
        <v>148</v>
      </c>
      <c r="E128" s="5" t="s">
        <v>26</v>
      </c>
      <c r="F128" s="6" t="s">
        <v>282</v>
      </c>
      <c r="G128" s="9" t="s">
        <v>283</v>
      </c>
      <c r="H128" s="9" t="s">
        <v>136</v>
      </c>
      <c r="I128" s="9"/>
      <c r="J128" s="9" t="s">
        <v>284</v>
      </c>
      <c r="K128" s="9" t="s">
        <v>285</v>
      </c>
      <c r="L128" s="9" t="s">
        <v>95</v>
      </c>
      <c r="M128" s="9" t="s">
        <v>286</v>
      </c>
      <c r="N128" s="13" t="s">
        <v>53</v>
      </c>
      <c r="O128" s="5">
        <v>148</v>
      </c>
      <c r="P128" s="5" t="s">
        <v>26</v>
      </c>
      <c r="Q128" s="19"/>
      <c r="R128" s="17"/>
      <c r="S128" s="17"/>
      <c r="T128" s="18">
        <v>80.1111111111111</v>
      </c>
      <c r="U128" s="18">
        <v>11856.4444444444</v>
      </c>
      <c r="V128" s="16"/>
      <c r="W128">
        <f t="shared" si="10"/>
        <v>100.138888888889</v>
      </c>
      <c r="X128">
        <f t="shared" si="11"/>
        <v>14820.5555555556</v>
      </c>
      <c r="Y128">
        <f t="shared" si="12"/>
        <v>14.204097714736</v>
      </c>
      <c r="Z128">
        <f t="shared" si="13"/>
        <v>2102.20646178093</v>
      </c>
      <c r="AA128">
        <f t="shared" si="18"/>
        <v>0.474257777777776</v>
      </c>
    </row>
    <row r="129" ht="76.8" spans="1:27">
      <c r="A129" s="5">
        <v>6</v>
      </c>
      <c r="B129" s="5" t="s">
        <v>25</v>
      </c>
      <c r="C129" s="5"/>
      <c r="D129" s="5">
        <f t="shared" si="17"/>
        <v>6</v>
      </c>
      <c r="E129" s="5" t="s">
        <v>26</v>
      </c>
      <c r="F129" s="6" t="s">
        <v>287</v>
      </c>
      <c r="G129" s="9" t="s">
        <v>37</v>
      </c>
      <c r="H129" s="9" t="s">
        <v>29</v>
      </c>
      <c r="I129" s="9" t="s">
        <v>30</v>
      </c>
      <c r="J129" s="9"/>
      <c r="K129" s="9" t="s">
        <v>254</v>
      </c>
      <c r="L129" s="9" t="s">
        <v>288</v>
      </c>
      <c r="M129" s="9" t="s">
        <v>289</v>
      </c>
      <c r="N129" s="12" t="s">
        <v>34</v>
      </c>
      <c r="O129" s="5">
        <v>6</v>
      </c>
      <c r="P129" s="5" t="s">
        <v>26</v>
      </c>
      <c r="Q129" s="10" t="s">
        <v>35</v>
      </c>
      <c r="R129" s="17"/>
      <c r="S129" s="17"/>
      <c r="T129" s="18">
        <v>69.5777777777778</v>
      </c>
      <c r="U129" s="18">
        <v>417.466666666667</v>
      </c>
      <c r="V129" s="16"/>
      <c r="W129">
        <f t="shared" si="10"/>
        <v>86.9722222222222</v>
      </c>
      <c r="X129">
        <f t="shared" si="11"/>
        <v>521.833333333333</v>
      </c>
      <c r="Y129">
        <f t="shared" si="12"/>
        <v>12.3364854215918</v>
      </c>
      <c r="Z129">
        <f t="shared" si="13"/>
        <v>74.0189125295508</v>
      </c>
      <c r="AA129">
        <f t="shared" si="18"/>
        <v>0.0166986666666667</v>
      </c>
    </row>
    <row r="130" ht="92.4" spans="1:27">
      <c r="A130" s="5">
        <v>70</v>
      </c>
      <c r="B130" s="5" t="s">
        <v>25</v>
      </c>
      <c r="C130" s="5"/>
      <c r="D130" s="5">
        <f t="shared" si="17"/>
        <v>70</v>
      </c>
      <c r="E130" s="5" t="s">
        <v>26</v>
      </c>
      <c r="F130" s="6" t="s">
        <v>290</v>
      </c>
      <c r="G130" s="9" t="s">
        <v>37</v>
      </c>
      <c r="H130" s="9" t="s">
        <v>29</v>
      </c>
      <c r="I130" s="9" t="s">
        <v>55</v>
      </c>
      <c r="J130" s="9"/>
      <c r="K130" s="9" t="s">
        <v>31</v>
      </c>
      <c r="L130" s="9" t="s">
        <v>291</v>
      </c>
      <c r="M130" s="9" t="s">
        <v>292</v>
      </c>
      <c r="N130" s="13" t="s">
        <v>53</v>
      </c>
      <c r="O130" s="5">
        <v>70</v>
      </c>
      <c r="P130" s="5" t="s">
        <v>26</v>
      </c>
      <c r="Q130" s="5"/>
      <c r="R130" s="17"/>
      <c r="S130" s="17"/>
      <c r="T130" s="18">
        <v>44.8888888888889</v>
      </c>
      <c r="U130" s="18">
        <v>3142.22222222222</v>
      </c>
      <c r="V130" s="16"/>
      <c r="W130">
        <f t="shared" si="10"/>
        <v>56.1111111111111</v>
      </c>
      <c r="X130">
        <f t="shared" si="11"/>
        <v>3927.77777777778</v>
      </c>
      <c r="Y130">
        <f t="shared" si="12"/>
        <v>7.95902285263988</v>
      </c>
      <c r="Z130">
        <f t="shared" si="13"/>
        <v>557.131599684791</v>
      </c>
      <c r="AA130">
        <f t="shared" si="18"/>
        <v>0.125688888888889</v>
      </c>
    </row>
    <row r="131" ht="38.4" spans="1:27">
      <c r="A131" s="5">
        <v>32</v>
      </c>
      <c r="B131" s="5" t="s">
        <v>25</v>
      </c>
      <c r="C131" s="5"/>
      <c r="D131" s="5">
        <f t="shared" si="17"/>
        <v>32</v>
      </c>
      <c r="E131" s="5" t="s">
        <v>26</v>
      </c>
      <c r="F131" s="6" t="s">
        <v>293</v>
      </c>
      <c r="G131" s="9" t="s">
        <v>37</v>
      </c>
      <c r="H131" s="9" t="s">
        <v>59</v>
      </c>
      <c r="I131" s="9" t="s">
        <v>55</v>
      </c>
      <c r="J131" s="9"/>
      <c r="K131" s="9" t="s">
        <v>31</v>
      </c>
      <c r="L131" s="9" t="s">
        <v>291</v>
      </c>
      <c r="M131" s="9" t="s">
        <v>61</v>
      </c>
      <c r="N131" s="13" t="s">
        <v>53</v>
      </c>
      <c r="O131" s="5">
        <v>32</v>
      </c>
      <c r="P131" s="5" t="s">
        <v>26</v>
      </c>
      <c r="Q131" s="5"/>
      <c r="R131" s="17"/>
      <c r="S131" s="17"/>
      <c r="T131" s="18">
        <v>180.677777777778</v>
      </c>
      <c r="U131" s="18">
        <v>5781.6888888889</v>
      </c>
      <c r="V131" s="16"/>
      <c r="W131">
        <f t="shared" si="10"/>
        <v>225.847222222223</v>
      </c>
      <c r="X131">
        <f t="shared" si="11"/>
        <v>7227.11111111112</v>
      </c>
      <c r="Y131">
        <f t="shared" si="12"/>
        <v>32.0350669818755</v>
      </c>
      <c r="Z131">
        <f t="shared" si="13"/>
        <v>1025.12214342002</v>
      </c>
      <c r="AA131">
        <f t="shared" si="18"/>
        <v>0.231267555555556</v>
      </c>
    </row>
    <row r="132" ht="50.4" spans="1:27">
      <c r="A132" s="5">
        <v>8</v>
      </c>
      <c r="B132" s="5" t="s">
        <v>25</v>
      </c>
      <c r="C132" s="5"/>
      <c r="D132" s="5">
        <f t="shared" si="17"/>
        <v>8</v>
      </c>
      <c r="E132" s="5" t="s">
        <v>26</v>
      </c>
      <c r="F132" s="6" t="s">
        <v>294</v>
      </c>
      <c r="G132" s="9" t="s">
        <v>39</v>
      </c>
      <c r="H132" s="9" t="s">
        <v>29</v>
      </c>
      <c r="I132" s="9" t="s">
        <v>55</v>
      </c>
      <c r="J132" s="9"/>
      <c r="K132" s="9" t="s">
        <v>31</v>
      </c>
      <c r="L132" s="9" t="s">
        <v>291</v>
      </c>
      <c r="M132" s="9" t="s">
        <v>142</v>
      </c>
      <c r="N132" s="13" t="s">
        <v>53</v>
      </c>
      <c r="O132" s="5">
        <v>8</v>
      </c>
      <c r="P132" s="5" t="s">
        <v>26</v>
      </c>
      <c r="Q132" s="5"/>
      <c r="R132" s="17"/>
      <c r="S132" s="17"/>
      <c r="T132" s="18">
        <v>79.6777777777778</v>
      </c>
      <c r="U132" s="18">
        <v>637.422222222222</v>
      </c>
      <c r="V132" s="16"/>
      <c r="W132">
        <f t="shared" ref="W132:W195" si="19">T132*1.25</f>
        <v>99.5972222222223</v>
      </c>
      <c r="X132">
        <f t="shared" ref="X132:X195" si="20">W132*O132</f>
        <v>796.777777777778</v>
      </c>
      <c r="Y132">
        <f t="shared" ref="Y132:Y195" si="21">W132/7.05</f>
        <v>14.1272655634358</v>
      </c>
      <c r="Z132">
        <f t="shared" ref="Z132:Z195" si="22">Y132*O132</f>
        <v>113.018124507486</v>
      </c>
      <c r="AA132">
        <f t="shared" si="18"/>
        <v>0.0254968888888889</v>
      </c>
    </row>
    <row r="133" ht="66" spans="1:27">
      <c r="A133" s="5">
        <v>60</v>
      </c>
      <c r="B133" s="5" t="s">
        <v>25</v>
      </c>
      <c r="C133" s="5"/>
      <c r="D133" s="5">
        <f t="shared" ref="D133:D163" si="23">A133</f>
        <v>60</v>
      </c>
      <c r="E133" s="5" t="s">
        <v>26</v>
      </c>
      <c r="F133" s="6" t="s">
        <v>295</v>
      </c>
      <c r="G133" s="9" t="s">
        <v>42</v>
      </c>
      <c r="H133" s="9" t="s">
        <v>29</v>
      </c>
      <c r="I133" s="9" t="s">
        <v>55</v>
      </c>
      <c r="J133" s="9" t="s">
        <v>98</v>
      </c>
      <c r="K133" s="9" t="s">
        <v>44</v>
      </c>
      <c r="L133" s="9" t="s">
        <v>288</v>
      </c>
      <c r="M133" s="9" t="s">
        <v>296</v>
      </c>
      <c r="N133" s="13" t="s">
        <v>53</v>
      </c>
      <c r="O133" s="5">
        <v>60</v>
      </c>
      <c r="P133" s="5" t="s">
        <v>26</v>
      </c>
      <c r="Q133" s="5"/>
      <c r="R133" s="17"/>
      <c r="S133" s="17"/>
      <c r="T133" s="18">
        <v>203.01</v>
      </c>
      <c r="U133" s="18">
        <v>12180.6</v>
      </c>
      <c r="V133" s="16"/>
      <c r="W133">
        <f t="shared" si="19"/>
        <v>253.7625</v>
      </c>
      <c r="X133">
        <f t="shared" si="20"/>
        <v>15225.75</v>
      </c>
      <c r="Y133">
        <f t="shared" si="21"/>
        <v>35.9946808510638</v>
      </c>
      <c r="Z133">
        <f t="shared" si="22"/>
        <v>2159.68085106383</v>
      </c>
      <c r="AA133">
        <f t="shared" si="18"/>
        <v>0.487224</v>
      </c>
    </row>
    <row r="134" ht="50.4" spans="1:27">
      <c r="A134" s="5">
        <v>103</v>
      </c>
      <c r="B134" s="5" t="s">
        <v>25</v>
      </c>
      <c r="C134" s="5"/>
      <c r="D134" s="5">
        <f t="shared" si="23"/>
        <v>103</v>
      </c>
      <c r="E134" s="5" t="s">
        <v>26</v>
      </c>
      <c r="F134" s="6" t="s">
        <v>297</v>
      </c>
      <c r="G134" s="9" t="s">
        <v>42</v>
      </c>
      <c r="H134" s="9" t="s">
        <v>59</v>
      </c>
      <c r="I134" s="9" t="s">
        <v>55</v>
      </c>
      <c r="J134" s="9" t="s">
        <v>98</v>
      </c>
      <c r="K134" s="9" t="s">
        <v>44</v>
      </c>
      <c r="L134" s="9" t="s">
        <v>288</v>
      </c>
      <c r="M134" s="9" t="s">
        <v>171</v>
      </c>
      <c r="N134" s="13" t="s">
        <v>53</v>
      </c>
      <c r="O134" s="5">
        <v>103</v>
      </c>
      <c r="P134" s="5" t="s">
        <v>26</v>
      </c>
      <c r="Q134" s="5"/>
      <c r="R134" s="17"/>
      <c r="S134" s="17"/>
      <c r="T134" s="18">
        <v>354.51</v>
      </c>
      <c r="U134" s="18">
        <v>36514.53</v>
      </c>
      <c r="V134" s="16"/>
      <c r="W134">
        <f t="shared" si="19"/>
        <v>443.1375</v>
      </c>
      <c r="X134">
        <f t="shared" si="20"/>
        <v>45643.1625</v>
      </c>
      <c r="Y134">
        <f t="shared" si="21"/>
        <v>62.8563829787234</v>
      </c>
      <c r="Z134">
        <f t="shared" si="22"/>
        <v>6474.20744680851</v>
      </c>
      <c r="AA134">
        <f t="shared" si="18"/>
        <v>1.4605812</v>
      </c>
    </row>
    <row r="135" ht="66" spans="1:27">
      <c r="A135" s="5">
        <v>3</v>
      </c>
      <c r="B135" s="5" t="s">
        <v>25</v>
      </c>
      <c r="C135" s="5"/>
      <c r="D135" s="5">
        <f t="shared" si="23"/>
        <v>3</v>
      </c>
      <c r="E135" s="5" t="s">
        <v>26</v>
      </c>
      <c r="F135" s="6" t="s">
        <v>298</v>
      </c>
      <c r="G135" s="9" t="s">
        <v>42</v>
      </c>
      <c r="H135" s="9" t="s">
        <v>50</v>
      </c>
      <c r="I135" s="9" t="s">
        <v>51</v>
      </c>
      <c r="J135" s="9" t="s">
        <v>98</v>
      </c>
      <c r="K135" s="9" t="s">
        <v>44</v>
      </c>
      <c r="L135" s="9" t="s">
        <v>288</v>
      </c>
      <c r="M135" s="9" t="s">
        <v>299</v>
      </c>
      <c r="N135" s="13" t="s">
        <v>53</v>
      </c>
      <c r="O135" s="5">
        <v>3</v>
      </c>
      <c r="P135" s="5" t="s">
        <v>26</v>
      </c>
      <c r="Q135" s="5"/>
      <c r="R135" s="17"/>
      <c r="S135" s="17"/>
      <c r="T135" s="18">
        <v>1444.3</v>
      </c>
      <c r="U135" s="18">
        <v>4332.9</v>
      </c>
      <c r="V135" s="16"/>
      <c r="W135">
        <f t="shared" si="19"/>
        <v>1805.375</v>
      </c>
      <c r="X135">
        <f t="shared" si="20"/>
        <v>5416.125</v>
      </c>
      <c r="Y135">
        <f t="shared" si="21"/>
        <v>256.081560283688</v>
      </c>
      <c r="Z135">
        <f t="shared" si="22"/>
        <v>768.244680851064</v>
      </c>
      <c r="AA135">
        <f t="shared" si="18"/>
        <v>0.173316</v>
      </c>
    </row>
    <row r="136" ht="38.4" spans="1:27">
      <c r="A136" s="5">
        <v>9</v>
      </c>
      <c r="B136" s="5" t="s">
        <v>25</v>
      </c>
      <c r="C136" s="5"/>
      <c r="D136" s="5">
        <f t="shared" si="23"/>
        <v>9</v>
      </c>
      <c r="E136" s="5" t="s">
        <v>26</v>
      </c>
      <c r="F136" s="6" t="s">
        <v>300</v>
      </c>
      <c r="G136" s="9" t="s">
        <v>28</v>
      </c>
      <c r="H136" s="9" t="s">
        <v>57</v>
      </c>
      <c r="I136" s="9" t="s">
        <v>55</v>
      </c>
      <c r="J136" s="9"/>
      <c r="K136" s="9" t="s">
        <v>31</v>
      </c>
      <c r="L136" s="9" t="s">
        <v>291</v>
      </c>
      <c r="M136" s="9" t="s">
        <v>61</v>
      </c>
      <c r="N136" s="13" t="s">
        <v>53</v>
      </c>
      <c r="O136" s="5">
        <v>9</v>
      </c>
      <c r="P136" s="5" t="s">
        <v>26</v>
      </c>
      <c r="Q136" s="5"/>
      <c r="R136" s="17"/>
      <c r="S136" s="17"/>
      <c r="T136" s="18">
        <v>62.8444444444444</v>
      </c>
      <c r="U136" s="18">
        <v>565.6</v>
      </c>
      <c r="V136" s="16"/>
      <c r="W136">
        <f t="shared" si="19"/>
        <v>78.5555555555555</v>
      </c>
      <c r="X136">
        <f t="shared" si="20"/>
        <v>707</v>
      </c>
      <c r="Y136">
        <f t="shared" si="21"/>
        <v>11.1426319936958</v>
      </c>
      <c r="Z136">
        <f t="shared" si="22"/>
        <v>100.283687943262</v>
      </c>
      <c r="AA136">
        <f t="shared" si="18"/>
        <v>0.022624</v>
      </c>
    </row>
    <row r="137" ht="38.4" spans="1:27">
      <c r="A137" s="5">
        <v>72</v>
      </c>
      <c r="B137" s="5" t="s">
        <v>25</v>
      </c>
      <c r="C137" s="5"/>
      <c r="D137" s="5">
        <f t="shared" si="23"/>
        <v>72</v>
      </c>
      <c r="E137" s="5" t="s">
        <v>26</v>
      </c>
      <c r="F137" s="6" t="s">
        <v>301</v>
      </c>
      <c r="G137" s="9" t="s">
        <v>28</v>
      </c>
      <c r="H137" s="9" t="s">
        <v>59</v>
      </c>
      <c r="I137" s="9" t="s">
        <v>55</v>
      </c>
      <c r="J137" s="9"/>
      <c r="K137" s="9" t="s">
        <v>31</v>
      </c>
      <c r="L137" s="9" t="s">
        <v>291</v>
      </c>
      <c r="M137" s="9" t="s">
        <v>61</v>
      </c>
      <c r="N137" s="13" t="s">
        <v>53</v>
      </c>
      <c r="O137" s="5">
        <v>72</v>
      </c>
      <c r="P137" s="5" t="s">
        <v>26</v>
      </c>
      <c r="Q137" s="5"/>
      <c r="R137" s="17"/>
      <c r="S137" s="17"/>
      <c r="T137" s="18">
        <v>108.855555555556</v>
      </c>
      <c r="U137" s="18">
        <v>7837.60000000003</v>
      </c>
      <c r="V137" s="16"/>
      <c r="W137">
        <f t="shared" si="19"/>
        <v>136.069444444445</v>
      </c>
      <c r="X137">
        <f t="shared" si="20"/>
        <v>9797.00000000004</v>
      </c>
      <c r="Y137">
        <f t="shared" si="21"/>
        <v>19.3006304176518</v>
      </c>
      <c r="Z137">
        <f t="shared" si="22"/>
        <v>1389.64539007093</v>
      </c>
      <c r="AA137">
        <f t="shared" si="18"/>
        <v>0.313504000000001</v>
      </c>
    </row>
    <row r="138" ht="38.4" spans="1:27">
      <c r="A138" s="5">
        <v>14</v>
      </c>
      <c r="B138" s="5" t="s">
        <v>25</v>
      </c>
      <c r="C138" s="5"/>
      <c r="D138" s="5">
        <f t="shared" si="23"/>
        <v>14</v>
      </c>
      <c r="E138" s="5" t="s">
        <v>26</v>
      </c>
      <c r="F138" s="6" t="s">
        <v>302</v>
      </c>
      <c r="G138" s="9" t="s">
        <v>28</v>
      </c>
      <c r="H138" s="9" t="s">
        <v>63</v>
      </c>
      <c r="I138" s="9" t="s">
        <v>64</v>
      </c>
      <c r="J138" s="9"/>
      <c r="K138" s="9" t="s">
        <v>31</v>
      </c>
      <c r="L138" s="9" t="s">
        <v>291</v>
      </c>
      <c r="M138" s="9" t="s">
        <v>61</v>
      </c>
      <c r="N138" s="13" t="s">
        <v>53</v>
      </c>
      <c r="O138" s="5">
        <v>14</v>
      </c>
      <c r="P138" s="5" t="s">
        <v>26</v>
      </c>
      <c r="Q138" s="5"/>
      <c r="R138" s="17"/>
      <c r="S138" s="17"/>
      <c r="T138" s="18">
        <v>278.311111111111</v>
      </c>
      <c r="U138" s="18">
        <v>3896.35555555555</v>
      </c>
      <c r="V138" s="16"/>
      <c r="W138">
        <f t="shared" si="19"/>
        <v>347.888888888889</v>
      </c>
      <c r="X138">
        <f t="shared" si="20"/>
        <v>4870.44444444444</v>
      </c>
      <c r="Y138">
        <f t="shared" si="21"/>
        <v>49.3459416863672</v>
      </c>
      <c r="Z138">
        <f t="shared" si="22"/>
        <v>690.843183609141</v>
      </c>
      <c r="AA138">
        <f t="shared" si="18"/>
        <v>0.155854222222222</v>
      </c>
    </row>
    <row r="139" ht="38.4" spans="1:27">
      <c r="A139" s="5">
        <v>53</v>
      </c>
      <c r="B139" s="5" t="s">
        <v>25</v>
      </c>
      <c r="C139" s="5"/>
      <c r="D139" s="5">
        <f t="shared" si="23"/>
        <v>53</v>
      </c>
      <c r="E139" s="5" t="s">
        <v>26</v>
      </c>
      <c r="F139" s="6" t="s">
        <v>303</v>
      </c>
      <c r="G139" s="9" t="s">
        <v>28</v>
      </c>
      <c r="H139" s="9" t="s">
        <v>66</v>
      </c>
      <c r="I139" s="9" t="s">
        <v>67</v>
      </c>
      <c r="J139" s="9"/>
      <c r="K139" s="9" t="s">
        <v>31</v>
      </c>
      <c r="L139" s="9" t="s">
        <v>291</v>
      </c>
      <c r="M139" s="9" t="s">
        <v>61</v>
      </c>
      <c r="N139" s="13" t="s">
        <v>53</v>
      </c>
      <c r="O139" s="5">
        <v>53</v>
      </c>
      <c r="P139" s="5" t="s">
        <v>26</v>
      </c>
      <c r="Q139" s="5"/>
      <c r="R139" s="17"/>
      <c r="S139" s="17"/>
      <c r="T139" s="18">
        <v>611.611111111111</v>
      </c>
      <c r="U139" s="18">
        <v>32415.3888888889</v>
      </c>
      <c r="V139" s="16"/>
      <c r="W139">
        <f t="shared" si="19"/>
        <v>764.513888888889</v>
      </c>
      <c r="X139">
        <f t="shared" si="20"/>
        <v>40519.2361111111</v>
      </c>
      <c r="Y139">
        <f t="shared" si="21"/>
        <v>108.441686367218</v>
      </c>
      <c r="Z139">
        <f t="shared" si="22"/>
        <v>5747.40937746257</v>
      </c>
      <c r="AA139">
        <f t="shared" si="18"/>
        <v>1.29661555555556</v>
      </c>
    </row>
    <row r="140" ht="38.4" spans="1:27">
      <c r="A140" s="5">
        <v>112</v>
      </c>
      <c r="B140" s="5" t="s">
        <v>25</v>
      </c>
      <c r="C140" s="5"/>
      <c r="D140" s="5">
        <f t="shared" si="23"/>
        <v>112</v>
      </c>
      <c r="E140" s="5" t="s">
        <v>26</v>
      </c>
      <c r="F140" s="6" t="s">
        <v>304</v>
      </c>
      <c r="G140" s="9" t="s">
        <v>37</v>
      </c>
      <c r="H140" s="9" t="s">
        <v>57</v>
      </c>
      <c r="I140" s="9" t="s">
        <v>55</v>
      </c>
      <c r="J140" s="9"/>
      <c r="K140" s="9" t="s">
        <v>31</v>
      </c>
      <c r="L140" s="9" t="s">
        <v>291</v>
      </c>
      <c r="M140" s="9" t="s">
        <v>61</v>
      </c>
      <c r="N140" s="13" t="s">
        <v>53</v>
      </c>
      <c r="O140" s="5">
        <v>112</v>
      </c>
      <c r="P140" s="5" t="s">
        <v>26</v>
      </c>
      <c r="Q140" s="5"/>
      <c r="R140" s="17"/>
      <c r="S140" s="17"/>
      <c r="T140" s="18">
        <v>105.488888888889</v>
      </c>
      <c r="U140" s="18">
        <v>11814.7555555556</v>
      </c>
      <c r="V140" s="16"/>
      <c r="W140">
        <f t="shared" si="19"/>
        <v>131.861111111111</v>
      </c>
      <c r="X140">
        <f t="shared" si="20"/>
        <v>14768.4444444445</v>
      </c>
      <c r="Y140">
        <f t="shared" si="21"/>
        <v>18.7037037037037</v>
      </c>
      <c r="Z140">
        <f t="shared" si="22"/>
        <v>2094.81481481482</v>
      </c>
      <c r="AA140">
        <f t="shared" si="18"/>
        <v>0.472590222222224</v>
      </c>
    </row>
    <row r="141" ht="76.8" spans="1:27">
      <c r="A141" s="5">
        <v>95</v>
      </c>
      <c r="B141" s="5" t="s">
        <v>25</v>
      </c>
      <c r="C141" s="5"/>
      <c r="D141" s="5">
        <f t="shared" si="23"/>
        <v>95</v>
      </c>
      <c r="E141" s="5" t="s">
        <v>26</v>
      </c>
      <c r="F141" s="6" t="s">
        <v>305</v>
      </c>
      <c r="G141" s="9" t="s">
        <v>37</v>
      </c>
      <c r="H141" s="9" t="s">
        <v>63</v>
      </c>
      <c r="I141" s="9" t="s">
        <v>64</v>
      </c>
      <c r="J141" s="9"/>
      <c r="K141" s="9" t="s">
        <v>31</v>
      </c>
      <c r="L141" s="9" t="s">
        <v>291</v>
      </c>
      <c r="M141" s="9" t="s">
        <v>289</v>
      </c>
      <c r="N141" s="13" t="s">
        <v>53</v>
      </c>
      <c r="O141" s="5">
        <v>95</v>
      </c>
      <c r="P141" s="5" t="s">
        <v>26</v>
      </c>
      <c r="Q141" s="5"/>
      <c r="R141" s="17"/>
      <c r="S141" s="17"/>
      <c r="T141" s="18">
        <v>463.477777777778</v>
      </c>
      <c r="U141" s="18">
        <v>44030.3888888889</v>
      </c>
      <c r="V141" s="16"/>
      <c r="W141">
        <f t="shared" si="19"/>
        <v>579.347222222223</v>
      </c>
      <c r="X141">
        <f t="shared" si="20"/>
        <v>55037.9861111111</v>
      </c>
      <c r="Y141">
        <f t="shared" si="21"/>
        <v>82.1769109535067</v>
      </c>
      <c r="Z141">
        <f t="shared" si="22"/>
        <v>7806.80654058314</v>
      </c>
      <c r="AA141">
        <f t="shared" si="18"/>
        <v>1.76121555555556</v>
      </c>
    </row>
    <row r="142" ht="38.4" spans="1:27">
      <c r="A142" s="5">
        <v>83</v>
      </c>
      <c r="B142" s="5" t="s">
        <v>25</v>
      </c>
      <c r="C142" s="5"/>
      <c r="D142" s="5">
        <f t="shared" si="23"/>
        <v>83</v>
      </c>
      <c r="E142" s="5" t="s">
        <v>26</v>
      </c>
      <c r="F142" s="6" t="s">
        <v>306</v>
      </c>
      <c r="G142" s="9" t="s">
        <v>37</v>
      </c>
      <c r="H142" s="9" t="s">
        <v>66</v>
      </c>
      <c r="I142" s="9" t="s">
        <v>67</v>
      </c>
      <c r="J142" s="9"/>
      <c r="K142" s="9" t="s">
        <v>31</v>
      </c>
      <c r="L142" s="9" t="s">
        <v>291</v>
      </c>
      <c r="M142" s="9" t="s">
        <v>61</v>
      </c>
      <c r="N142" s="13" t="s">
        <v>53</v>
      </c>
      <c r="O142" s="5">
        <v>83</v>
      </c>
      <c r="P142" s="5" t="s">
        <v>26</v>
      </c>
      <c r="Q142" s="5"/>
      <c r="R142" s="17"/>
      <c r="S142" s="17"/>
      <c r="T142" s="18">
        <v>1077.33333333333</v>
      </c>
      <c r="U142" s="18">
        <v>89418.6666666664</v>
      </c>
      <c r="V142" s="16"/>
      <c r="W142">
        <f t="shared" si="19"/>
        <v>1346.66666666666</v>
      </c>
      <c r="X142">
        <f t="shared" si="20"/>
        <v>111773.333333333</v>
      </c>
      <c r="Y142">
        <f t="shared" si="21"/>
        <v>191.016548463356</v>
      </c>
      <c r="Z142">
        <f t="shared" si="22"/>
        <v>15854.3735224586</v>
      </c>
      <c r="AA142">
        <f t="shared" si="18"/>
        <v>3.57674666666666</v>
      </c>
    </row>
    <row r="143" ht="92.4" spans="1:27">
      <c r="A143" s="5">
        <v>12</v>
      </c>
      <c r="B143" s="5" t="s">
        <v>25</v>
      </c>
      <c r="C143" s="5"/>
      <c r="D143" s="5">
        <f t="shared" si="23"/>
        <v>12</v>
      </c>
      <c r="E143" s="5" t="s">
        <v>26</v>
      </c>
      <c r="F143" s="6" t="s">
        <v>307</v>
      </c>
      <c r="G143" s="9" t="s">
        <v>37</v>
      </c>
      <c r="H143" s="9" t="s">
        <v>79</v>
      </c>
      <c r="I143" s="9" t="s">
        <v>80</v>
      </c>
      <c r="J143" s="9"/>
      <c r="K143" s="9" t="s">
        <v>216</v>
      </c>
      <c r="L143" s="9" t="s">
        <v>308</v>
      </c>
      <c r="M143" s="9" t="s">
        <v>309</v>
      </c>
      <c r="N143" s="13" t="s">
        <v>53</v>
      </c>
      <c r="O143" s="5">
        <v>12</v>
      </c>
      <c r="P143" s="5" t="s">
        <v>26</v>
      </c>
      <c r="Q143" s="5"/>
      <c r="R143" s="17"/>
      <c r="S143" s="17"/>
      <c r="T143" s="18">
        <v>1509.38888888889</v>
      </c>
      <c r="U143" s="18">
        <v>18112.6666666667</v>
      </c>
      <c r="V143" s="16" t="s">
        <v>81</v>
      </c>
      <c r="W143">
        <f t="shared" si="19"/>
        <v>1886.73611111111</v>
      </c>
      <c r="X143">
        <f t="shared" si="20"/>
        <v>22640.8333333334</v>
      </c>
      <c r="Y143">
        <f t="shared" si="21"/>
        <v>267.622143420016</v>
      </c>
      <c r="Z143">
        <f t="shared" si="22"/>
        <v>3211.46572104019</v>
      </c>
      <c r="AA143">
        <f t="shared" si="18"/>
        <v>0.724506666666668</v>
      </c>
    </row>
    <row r="144" ht="92.4" spans="1:27">
      <c r="A144" s="5">
        <v>15</v>
      </c>
      <c r="B144" s="5" t="s">
        <v>25</v>
      </c>
      <c r="C144" s="5"/>
      <c r="D144" s="5">
        <f t="shared" si="23"/>
        <v>15</v>
      </c>
      <c r="E144" s="5" t="s">
        <v>26</v>
      </c>
      <c r="F144" s="6" t="s">
        <v>310</v>
      </c>
      <c r="G144" s="9" t="s">
        <v>37</v>
      </c>
      <c r="H144" s="9" t="s">
        <v>74</v>
      </c>
      <c r="I144" s="9" t="s">
        <v>75</v>
      </c>
      <c r="J144" s="9"/>
      <c r="K144" s="9" t="s">
        <v>254</v>
      </c>
      <c r="L144" s="9" t="s">
        <v>288</v>
      </c>
      <c r="M144" s="9" t="s">
        <v>311</v>
      </c>
      <c r="N144" s="13" t="s">
        <v>53</v>
      </c>
      <c r="O144" s="5">
        <v>15</v>
      </c>
      <c r="P144" s="5" t="s">
        <v>26</v>
      </c>
      <c r="Q144" s="5"/>
      <c r="R144" s="17"/>
      <c r="S144" s="17"/>
      <c r="T144" s="18">
        <v>28.0555555555556</v>
      </c>
      <c r="U144" s="18">
        <v>420.833333333334</v>
      </c>
      <c r="V144" s="16"/>
      <c r="W144">
        <f t="shared" si="19"/>
        <v>35.0694444444445</v>
      </c>
      <c r="X144">
        <f t="shared" si="20"/>
        <v>526.041666666668</v>
      </c>
      <c r="Y144">
        <f t="shared" si="21"/>
        <v>4.97438928289993</v>
      </c>
      <c r="Z144">
        <f t="shared" si="22"/>
        <v>74.6158392434989</v>
      </c>
      <c r="AA144">
        <f t="shared" si="18"/>
        <v>0.0168333333333334</v>
      </c>
    </row>
    <row r="145" ht="54" spans="1:27">
      <c r="A145" s="5">
        <v>4</v>
      </c>
      <c r="B145" s="5" t="s">
        <v>25</v>
      </c>
      <c r="C145" s="5"/>
      <c r="D145" s="5">
        <f t="shared" si="23"/>
        <v>4</v>
      </c>
      <c r="E145" s="5" t="s">
        <v>26</v>
      </c>
      <c r="F145" s="6" t="s">
        <v>312</v>
      </c>
      <c r="G145" s="9" t="s">
        <v>37</v>
      </c>
      <c r="H145" s="9" t="s">
        <v>72</v>
      </c>
      <c r="I145" s="9" t="s">
        <v>64</v>
      </c>
      <c r="J145" s="9"/>
      <c r="K145" s="9" t="s">
        <v>254</v>
      </c>
      <c r="L145" s="9" t="s">
        <v>288</v>
      </c>
      <c r="M145" s="9" t="s">
        <v>247</v>
      </c>
      <c r="N145" s="13" t="s">
        <v>53</v>
      </c>
      <c r="O145" s="5">
        <v>4</v>
      </c>
      <c r="P145" s="5" t="s">
        <v>26</v>
      </c>
      <c r="Q145" s="5"/>
      <c r="R145" s="17"/>
      <c r="S145" s="17"/>
      <c r="T145" s="18">
        <v>40.4</v>
      </c>
      <c r="U145" s="18">
        <v>161.6</v>
      </c>
      <c r="V145" s="16"/>
      <c r="W145">
        <f t="shared" si="19"/>
        <v>50.5</v>
      </c>
      <c r="X145">
        <f t="shared" si="20"/>
        <v>202</v>
      </c>
      <c r="Y145">
        <f t="shared" si="21"/>
        <v>7.16312056737589</v>
      </c>
      <c r="Z145">
        <f t="shared" si="22"/>
        <v>28.6524822695035</v>
      </c>
      <c r="AA145">
        <f t="shared" si="18"/>
        <v>0.006464</v>
      </c>
    </row>
    <row r="146" ht="38.4" spans="1:27">
      <c r="A146" s="5">
        <v>18</v>
      </c>
      <c r="B146" s="5" t="s">
        <v>25</v>
      </c>
      <c r="C146" s="5"/>
      <c r="D146" s="5">
        <f t="shared" si="23"/>
        <v>18</v>
      </c>
      <c r="E146" s="5" t="s">
        <v>26</v>
      </c>
      <c r="F146" s="6" t="s">
        <v>313</v>
      </c>
      <c r="G146" s="9" t="s">
        <v>37</v>
      </c>
      <c r="H146" s="9" t="s">
        <v>74</v>
      </c>
      <c r="I146" s="9" t="s">
        <v>75</v>
      </c>
      <c r="J146" s="9"/>
      <c r="K146" s="9" t="s">
        <v>254</v>
      </c>
      <c r="L146" s="9" t="s">
        <v>288</v>
      </c>
      <c r="M146" s="9" t="s">
        <v>70</v>
      </c>
      <c r="N146" s="13" t="s">
        <v>53</v>
      </c>
      <c r="O146" s="5">
        <v>18</v>
      </c>
      <c r="P146" s="5" t="s">
        <v>26</v>
      </c>
      <c r="Q146" s="5"/>
      <c r="R146" s="17"/>
      <c r="S146" s="17"/>
      <c r="T146" s="18">
        <v>62.8444444444444</v>
      </c>
      <c r="U146" s="18">
        <v>1131.2</v>
      </c>
      <c r="V146" s="16"/>
      <c r="W146">
        <f t="shared" si="19"/>
        <v>78.5555555555555</v>
      </c>
      <c r="X146">
        <f t="shared" si="20"/>
        <v>1414</v>
      </c>
      <c r="Y146">
        <f t="shared" si="21"/>
        <v>11.1426319936958</v>
      </c>
      <c r="Z146">
        <f t="shared" si="22"/>
        <v>200.567375886525</v>
      </c>
      <c r="AA146">
        <f t="shared" si="18"/>
        <v>0.045248</v>
      </c>
    </row>
    <row r="147" ht="69.6" spans="1:27">
      <c r="A147" s="5">
        <v>14</v>
      </c>
      <c r="B147" s="5" t="s">
        <v>25</v>
      </c>
      <c r="C147" s="5"/>
      <c r="D147" s="5">
        <f t="shared" si="23"/>
        <v>14</v>
      </c>
      <c r="E147" s="5" t="s">
        <v>26</v>
      </c>
      <c r="F147" s="6" t="s">
        <v>314</v>
      </c>
      <c r="G147" s="9" t="s">
        <v>93</v>
      </c>
      <c r="H147" s="9" t="s">
        <v>74</v>
      </c>
      <c r="I147" s="9"/>
      <c r="J147" s="9" t="s">
        <v>94</v>
      </c>
      <c r="K147" s="9" t="s">
        <v>315</v>
      </c>
      <c r="L147" s="9" t="s">
        <v>316</v>
      </c>
      <c r="M147" s="9" t="s">
        <v>317</v>
      </c>
      <c r="N147" s="13" t="s">
        <v>53</v>
      </c>
      <c r="O147" s="5">
        <v>14</v>
      </c>
      <c r="P147" s="5" t="s">
        <v>26</v>
      </c>
      <c r="Q147" s="5"/>
      <c r="R147" s="17"/>
      <c r="S147" s="17"/>
      <c r="T147" s="18">
        <v>143.42</v>
      </c>
      <c r="U147" s="18">
        <v>2007.88</v>
      </c>
      <c r="V147" s="16"/>
      <c r="W147">
        <f t="shared" si="19"/>
        <v>179.275</v>
      </c>
      <c r="X147">
        <f t="shared" si="20"/>
        <v>2509.85</v>
      </c>
      <c r="Y147">
        <f t="shared" si="21"/>
        <v>25.4290780141844</v>
      </c>
      <c r="Z147">
        <f t="shared" si="22"/>
        <v>356.007092198582</v>
      </c>
      <c r="AA147">
        <f t="shared" si="18"/>
        <v>0.0803152</v>
      </c>
    </row>
    <row r="148" ht="38.4" spans="1:27">
      <c r="A148" s="5">
        <v>6</v>
      </c>
      <c r="B148" s="5" t="s">
        <v>25</v>
      </c>
      <c r="C148" s="5"/>
      <c r="D148" s="5">
        <f t="shared" si="23"/>
        <v>6</v>
      </c>
      <c r="E148" s="5" t="s">
        <v>26</v>
      </c>
      <c r="F148" s="6" t="s">
        <v>318</v>
      </c>
      <c r="G148" s="9" t="s">
        <v>93</v>
      </c>
      <c r="H148" s="9" t="s">
        <v>79</v>
      </c>
      <c r="I148" s="9"/>
      <c r="J148" s="9" t="s">
        <v>98</v>
      </c>
      <c r="K148" s="9" t="s">
        <v>319</v>
      </c>
      <c r="L148" s="9" t="s">
        <v>316</v>
      </c>
      <c r="M148" s="9" t="s">
        <v>96</v>
      </c>
      <c r="N148" s="13" t="s">
        <v>53</v>
      </c>
      <c r="O148" s="5">
        <v>6</v>
      </c>
      <c r="P148" s="5" t="s">
        <v>26</v>
      </c>
      <c r="Q148" s="5"/>
      <c r="R148" s="17"/>
      <c r="S148" s="17"/>
      <c r="T148" s="18">
        <v>1565.5</v>
      </c>
      <c r="U148" s="18">
        <v>9393</v>
      </c>
      <c r="V148" s="16"/>
      <c r="W148">
        <f t="shared" si="19"/>
        <v>1956.875</v>
      </c>
      <c r="X148">
        <f t="shared" si="20"/>
        <v>11741.25</v>
      </c>
      <c r="Y148">
        <f t="shared" si="21"/>
        <v>277.570921985816</v>
      </c>
      <c r="Z148">
        <f t="shared" si="22"/>
        <v>1665.42553191489</v>
      </c>
      <c r="AA148">
        <f t="shared" si="18"/>
        <v>0.37572</v>
      </c>
    </row>
    <row r="149" ht="38.4" spans="1:27">
      <c r="A149" s="5">
        <v>3</v>
      </c>
      <c r="B149" s="5" t="s">
        <v>25</v>
      </c>
      <c r="C149" s="5"/>
      <c r="D149" s="5">
        <f t="shared" si="23"/>
        <v>3</v>
      </c>
      <c r="E149" s="5" t="s">
        <v>26</v>
      </c>
      <c r="F149" s="6" t="s">
        <v>320</v>
      </c>
      <c r="G149" s="9" t="s">
        <v>93</v>
      </c>
      <c r="H149" s="9" t="s">
        <v>29</v>
      </c>
      <c r="I149" s="9"/>
      <c r="J149" s="9" t="s">
        <v>98</v>
      </c>
      <c r="K149" s="9" t="s">
        <v>319</v>
      </c>
      <c r="L149" s="9" t="s">
        <v>316</v>
      </c>
      <c r="M149" s="9" t="s">
        <v>96</v>
      </c>
      <c r="N149" s="13" t="s">
        <v>53</v>
      </c>
      <c r="O149" s="5">
        <v>3</v>
      </c>
      <c r="P149" s="5" t="s">
        <v>26</v>
      </c>
      <c r="Q149" s="5"/>
      <c r="R149" s="17"/>
      <c r="S149" s="17"/>
      <c r="T149" s="18">
        <v>199.98</v>
      </c>
      <c r="U149" s="18">
        <v>599.94</v>
      </c>
      <c r="V149" s="16"/>
      <c r="W149">
        <f t="shared" si="19"/>
        <v>249.975</v>
      </c>
      <c r="X149">
        <f t="shared" si="20"/>
        <v>749.925</v>
      </c>
      <c r="Y149">
        <f t="shared" si="21"/>
        <v>35.4574468085106</v>
      </c>
      <c r="Z149">
        <f t="shared" si="22"/>
        <v>106.372340425532</v>
      </c>
      <c r="AA149">
        <f t="shared" si="18"/>
        <v>0.0239976</v>
      </c>
    </row>
    <row r="150" ht="38.4" spans="1:27">
      <c r="A150" s="5">
        <v>3</v>
      </c>
      <c r="B150" s="5" t="s">
        <v>25</v>
      </c>
      <c r="C150" s="5"/>
      <c r="D150" s="5">
        <f t="shared" si="23"/>
        <v>3</v>
      </c>
      <c r="E150" s="5" t="s">
        <v>26</v>
      </c>
      <c r="F150" s="6" t="s">
        <v>321</v>
      </c>
      <c r="G150" s="9" t="s">
        <v>93</v>
      </c>
      <c r="H150" s="9" t="s">
        <v>57</v>
      </c>
      <c r="I150" s="9"/>
      <c r="J150" s="9" t="s">
        <v>98</v>
      </c>
      <c r="K150" s="9" t="s">
        <v>319</v>
      </c>
      <c r="L150" s="9" t="s">
        <v>316</v>
      </c>
      <c r="M150" s="9" t="s">
        <v>96</v>
      </c>
      <c r="N150" s="13" t="s">
        <v>53</v>
      </c>
      <c r="O150" s="5">
        <v>3</v>
      </c>
      <c r="P150" s="5" t="s">
        <v>26</v>
      </c>
      <c r="Q150" s="5"/>
      <c r="R150" s="17"/>
      <c r="S150" s="17"/>
      <c r="T150" s="18">
        <v>287.85</v>
      </c>
      <c r="U150" s="18">
        <v>863.55</v>
      </c>
      <c r="V150" s="16"/>
      <c r="W150">
        <f t="shared" si="19"/>
        <v>359.8125</v>
      </c>
      <c r="X150">
        <f t="shared" si="20"/>
        <v>1079.4375</v>
      </c>
      <c r="Y150">
        <f t="shared" si="21"/>
        <v>51.0372340425532</v>
      </c>
      <c r="Z150">
        <f t="shared" si="22"/>
        <v>153.11170212766</v>
      </c>
      <c r="AA150">
        <f t="shared" si="18"/>
        <v>0.034542</v>
      </c>
    </row>
    <row r="151" ht="38.4" spans="1:27">
      <c r="A151" s="5">
        <v>1</v>
      </c>
      <c r="B151" s="5" t="s">
        <v>25</v>
      </c>
      <c r="C151" s="5"/>
      <c r="D151" s="5">
        <f t="shared" si="23"/>
        <v>1</v>
      </c>
      <c r="E151" s="5" t="s">
        <v>26</v>
      </c>
      <c r="F151" s="6" t="s">
        <v>322</v>
      </c>
      <c r="G151" s="9" t="s">
        <v>93</v>
      </c>
      <c r="H151" s="9" t="s">
        <v>63</v>
      </c>
      <c r="I151" s="9"/>
      <c r="J151" s="9" t="s">
        <v>98</v>
      </c>
      <c r="K151" s="9" t="s">
        <v>319</v>
      </c>
      <c r="L151" s="9" t="s">
        <v>316</v>
      </c>
      <c r="M151" s="9" t="s">
        <v>96</v>
      </c>
      <c r="N151" s="13" t="s">
        <v>53</v>
      </c>
      <c r="O151" s="5">
        <v>1</v>
      </c>
      <c r="P151" s="5" t="s">
        <v>26</v>
      </c>
      <c r="Q151" s="5"/>
      <c r="R151" s="17"/>
      <c r="S151" s="17"/>
      <c r="T151" s="18">
        <v>657.51</v>
      </c>
      <c r="U151" s="18">
        <v>657.51</v>
      </c>
      <c r="V151" s="16"/>
      <c r="W151">
        <f t="shared" si="19"/>
        <v>821.8875</v>
      </c>
      <c r="X151">
        <f t="shared" si="20"/>
        <v>821.8875</v>
      </c>
      <c r="Y151">
        <f t="shared" si="21"/>
        <v>116.579787234043</v>
      </c>
      <c r="Z151">
        <f t="shared" si="22"/>
        <v>116.579787234043</v>
      </c>
      <c r="AA151">
        <f t="shared" si="18"/>
        <v>0.0263004</v>
      </c>
    </row>
    <row r="152" ht="38.4" spans="1:27">
      <c r="A152" s="5">
        <v>10</v>
      </c>
      <c r="B152" s="5" t="s">
        <v>25</v>
      </c>
      <c r="C152" s="5"/>
      <c r="D152" s="5">
        <f t="shared" si="23"/>
        <v>10</v>
      </c>
      <c r="E152" s="5" t="s">
        <v>26</v>
      </c>
      <c r="F152" s="6" t="s">
        <v>323</v>
      </c>
      <c r="G152" s="9" t="s">
        <v>93</v>
      </c>
      <c r="H152" s="9" t="s">
        <v>66</v>
      </c>
      <c r="I152" s="9"/>
      <c r="J152" s="9" t="s">
        <v>98</v>
      </c>
      <c r="K152" s="9" t="s">
        <v>319</v>
      </c>
      <c r="L152" s="9" t="s">
        <v>316</v>
      </c>
      <c r="M152" s="9" t="s">
        <v>96</v>
      </c>
      <c r="N152" s="13" t="s">
        <v>53</v>
      </c>
      <c r="O152" s="5">
        <v>10</v>
      </c>
      <c r="P152" s="5" t="s">
        <v>26</v>
      </c>
      <c r="Q152" s="5"/>
      <c r="R152" s="17"/>
      <c r="S152" s="17"/>
      <c r="T152" s="18">
        <v>1033.23</v>
      </c>
      <c r="U152" s="18">
        <v>10332.3</v>
      </c>
      <c r="V152" s="16"/>
      <c r="W152">
        <f t="shared" si="19"/>
        <v>1291.5375</v>
      </c>
      <c r="X152">
        <f t="shared" si="20"/>
        <v>12915.375</v>
      </c>
      <c r="Y152">
        <f t="shared" si="21"/>
        <v>183.196808510638</v>
      </c>
      <c r="Z152">
        <f t="shared" si="22"/>
        <v>1831.96808510638</v>
      </c>
      <c r="AA152">
        <f t="shared" si="18"/>
        <v>0.413292</v>
      </c>
    </row>
    <row r="153" ht="69.6" spans="1:27">
      <c r="A153" s="5">
        <v>7</v>
      </c>
      <c r="B153" s="5" t="s">
        <v>25</v>
      </c>
      <c r="C153" s="5"/>
      <c r="D153" s="5">
        <f t="shared" si="23"/>
        <v>7</v>
      </c>
      <c r="E153" s="5" t="s">
        <v>26</v>
      </c>
      <c r="F153" s="6" t="s">
        <v>324</v>
      </c>
      <c r="G153" s="9" t="s">
        <v>102</v>
      </c>
      <c r="H153" s="9" t="s">
        <v>107</v>
      </c>
      <c r="I153" s="9" t="s">
        <v>108</v>
      </c>
      <c r="J153" s="9"/>
      <c r="K153" s="9" t="s">
        <v>31</v>
      </c>
      <c r="L153" s="9" t="s">
        <v>291</v>
      </c>
      <c r="M153" s="9" t="s">
        <v>250</v>
      </c>
      <c r="N153" s="13" t="s">
        <v>53</v>
      </c>
      <c r="O153" s="5">
        <v>7</v>
      </c>
      <c r="P153" s="5" t="s">
        <v>26</v>
      </c>
      <c r="Q153" s="5"/>
      <c r="R153" s="17"/>
      <c r="S153" s="17"/>
      <c r="T153" s="18">
        <v>34.7888888888889</v>
      </c>
      <c r="U153" s="18">
        <v>243.522222222222</v>
      </c>
      <c r="V153" s="16"/>
      <c r="W153">
        <f t="shared" si="19"/>
        <v>43.4861111111111</v>
      </c>
      <c r="X153">
        <f t="shared" si="20"/>
        <v>304.402777777778</v>
      </c>
      <c r="Y153">
        <f t="shared" si="21"/>
        <v>6.1682427107959</v>
      </c>
      <c r="Z153">
        <f t="shared" si="22"/>
        <v>43.1776989755713</v>
      </c>
      <c r="AA153">
        <f t="shared" si="18"/>
        <v>0.00974088888888888</v>
      </c>
    </row>
    <row r="154" ht="54" spans="1:27">
      <c r="A154" s="5">
        <v>1</v>
      </c>
      <c r="B154" s="5" t="s">
        <v>25</v>
      </c>
      <c r="C154" s="5"/>
      <c r="D154" s="5">
        <f t="shared" si="23"/>
        <v>1</v>
      </c>
      <c r="E154" s="5" t="s">
        <v>26</v>
      </c>
      <c r="F154" s="6" t="s">
        <v>325</v>
      </c>
      <c r="G154" s="9" t="s">
        <v>102</v>
      </c>
      <c r="H154" s="9" t="s">
        <v>155</v>
      </c>
      <c r="I154" s="9" t="s">
        <v>111</v>
      </c>
      <c r="J154" s="9"/>
      <c r="K154" s="9" t="s">
        <v>31</v>
      </c>
      <c r="L154" s="9" t="s">
        <v>291</v>
      </c>
      <c r="M154" s="9" t="s">
        <v>118</v>
      </c>
      <c r="N154" s="13" t="s">
        <v>53</v>
      </c>
      <c r="O154" s="5">
        <v>1</v>
      </c>
      <c r="P154" s="5" t="s">
        <v>26</v>
      </c>
      <c r="Q154" s="5"/>
      <c r="R154" s="17"/>
      <c r="S154" s="17"/>
      <c r="T154" s="18">
        <v>63.9666666666667</v>
      </c>
      <c r="U154" s="18">
        <v>63.9666666666667</v>
      </c>
      <c r="V154" s="16"/>
      <c r="W154">
        <f t="shared" si="19"/>
        <v>79.9583333333334</v>
      </c>
      <c r="X154">
        <f t="shared" si="20"/>
        <v>79.9583333333334</v>
      </c>
      <c r="Y154">
        <f t="shared" si="21"/>
        <v>11.3416075650118</v>
      </c>
      <c r="Z154">
        <f t="shared" si="22"/>
        <v>11.3416075650118</v>
      </c>
      <c r="AA154">
        <f t="shared" si="18"/>
        <v>0.00255866666666667</v>
      </c>
    </row>
    <row r="155" ht="69.6" spans="1:27">
      <c r="A155" s="5">
        <v>14</v>
      </c>
      <c r="B155" s="5" t="s">
        <v>25</v>
      </c>
      <c r="C155" s="5"/>
      <c r="D155" s="5">
        <f t="shared" si="23"/>
        <v>14</v>
      </c>
      <c r="E155" s="5" t="s">
        <v>26</v>
      </c>
      <c r="F155" s="6" t="s">
        <v>326</v>
      </c>
      <c r="G155" s="9" t="s">
        <v>102</v>
      </c>
      <c r="H155" s="9" t="s">
        <v>196</v>
      </c>
      <c r="I155" s="9" t="s">
        <v>108</v>
      </c>
      <c r="J155" s="9"/>
      <c r="K155" s="9" t="s">
        <v>31</v>
      </c>
      <c r="L155" s="9" t="s">
        <v>291</v>
      </c>
      <c r="M155" s="9" t="s">
        <v>250</v>
      </c>
      <c r="N155" s="13" t="s">
        <v>53</v>
      </c>
      <c r="O155" s="5">
        <v>14</v>
      </c>
      <c r="P155" s="5" t="s">
        <v>26</v>
      </c>
      <c r="Q155" s="5"/>
      <c r="R155" s="17"/>
      <c r="S155" s="17"/>
      <c r="T155" s="18">
        <v>65.0888888888889</v>
      </c>
      <c r="U155" s="18">
        <v>911.244444444445</v>
      </c>
      <c r="V155" s="16"/>
      <c r="W155">
        <f t="shared" si="19"/>
        <v>81.3611111111111</v>
      </c>
      <c r="X155">
        <f t="shared" si="20"/>
        <v>1139.05555555556</v>
      </c>
      <c r="Y155">
        <f t="shared" si="21"/>
        <v>11.5405831363278</v>
      </c>
      <c r="Z155">
        <f t="shared" si="22"/>
        <v>161.568163908589</v>
      </c>
      <c r="AA155">
        <f t="shared" ref="AA155:AA186" si="24">U155/25000</f>
        <v>0.0364497777777778</v>
      </c>
    </row>
    <row r="156" ht="123.6" spans="1:27">
      <c r="A156" s="5">
        <v>22</v>
      </c>
      <c r="B156" s="5" t="s">
        <v>25</v>
      </c>
      <c r="C156" s="5"/>
      <c r="D156" s="5">
        <f t="shared" si="23"/>
        <v>22</v>
      </c>
      <c r="E156" s="5" t="s">
        <v>26</v>
      </c>
      <c r="F156" s="6" t="s">
        <v>327</v>
      </c>
      <c r="G156" s="9" t="s">
        <v>102</v>
      </c>
      <c r="H156" s="9" t="s">
        <v>159</v>
      </c>
      <c r="I156" s="9" t="s">
        <v>160</v>
      </c>
      <c r="J156" s="9"/>
      <c r="K156" s="9" t="s">
        <v>31</v>
      </c>
      <c r="L156" s="9" t="s">
        <v>291</v>
      </c>
      <c r="M156" s="9" t="s">
        <v>328</v>
      </c>
      <c r="N156" s="13" t="s">
        <v>53</v>
      </c>
      <c r="O156" s="5">
        <v>22</v>
      </c>
      <c r="P156" s="5" t="s">
        <v>26</v>
      </c>
      <c r="Q156" s="5"/>
      <c r="R156" s="17"/>
      <c r="S156" s="17"/>
      <c r="T156" s="18">
        <v>374.822222222222</v>
      </c>
      <c r="U156" s="18">
        <v>8246.08888888888</v>
      </c>
      <c r="V156" s="16"/>
      <c r="W156">
        <f t="shared" si="19"/>
        <v>468.527777777778</v>
      </c>
      <c r="X156">
        <f t="shared" si="20"/>
        <v>10307.6111111111</v>
      </c>
      <c r="Y156">
        <f t="shared" si="21"/>
        <v>66.4578408195429</v>
      </c>
      <c r="Z156">
        <f t="shared" si="22"/>
        <v>1462.07249802994</v>
      </c>
      <c r="AA156">
        <f t="shared" si="24"/>
        <v>0.329843555555555</v>
      </c>
    </row>
    <row r="157" ht="104.4" spans="1:27">
      <c r="A157" s="5">
        <v>1</v>
      </c>
      <c r="B157" s="5" t="s">
        <v>25</v>
      </c>
      <c r="C157" s="5"/>
      <c r="D157" s="5">
        <f t="shared" si="23"/>
        <v>1</v>
      </c>
      <c r="E157" s="5" t="s">
        <v>26</v>
      </c>
      <c r="F157" s="6" t="s">
        <v>329</v>
      </c>
      <c r="G157" s="9" t="s">
        <v>122</v>
      </c>
      <c r="H157" s="9" t="s">
        <v>140</v>
      </c>
      <c r="I157" s="9" t="s">
        <v>111</v>
      </c>
      <c r="J157" s="9"/>
      <c r="K157" s="9" t="s">
        <v>31</v>
      </c>
      <c r="L157" s="9" t="s">
        <v>291</v>
      </c>
      <c r="M157" s="9" t="s">
        <v>330</v>
      </c>
      <c r="N157" s="13" t="s">
        <v>53</v>
      </c>
      <c r="O157" s="5">
        <v>1</v>
      </c>
      <c r="P157" s="5" t="s">
        <v>26</v>
      </c>
      <c r="Q157" s="5"/>
      <c r="R157" s="17"/>
      <c r="S157" s="17"/>
      <c r="T157" s="18">
        <v>93.1444444444444</v>
      </c>
      <c r="U157" s="18">
        <v>93.1444444444444</v>
      </c>
      <c r="V157" s="16"/>
      <c r="W157">
        <f t="shared" si="19"/>
        <v>116.430555555556</v>
      </c>
      <c r="X157">
        <f t="shared" si="20"/>
        <v>116.430555555556</v>
      </c>
      <c r="Y157">
        <f t="shared" si="21"/>
        <v>16.5149724192277</v>
      </c>
      <c r="Z157">
        <f t="shared" si="22"/>
        <v>16.5149724192277</v>
      </c>
      <c r="AA157">
        <f t="shared" si="24"/>
        <v>0.00372577777777778</v>
      </c>
    </row>
    <row r="158" ht="69.6" spans="1:27">
      <c r="A158" s="5">
        <v>5</v>
      </c>
      <c r="B158" s="5" t="s">
        <v>25</v>
      </c>
      <c r="C158" s="5"/>
      <c r="D158" s="5">
        <f t="shared" si="23"/>
        <v>5</v>
      </c>
      <c r="E158" s="5" t="s">
        <v>26</v>
      </c>
      <c r="F158" s="6" t="s">
        <v>331</v>
      </c>
      <c r="G158" s="9" t="s">
        <v>122</v>
      </c>
      <c r="H158" s="9" t="s">
        <v>159</v>
      </c>
      <c r="I158" s="9" t="s">
        <v>160</v>
      </c>
      <c r="J158" s="9"/>
      <c r="K158" s="9" t="s">
        <v>31</v>
      </c>
      <c r="L158" s="9" t="s">
        <v>291</v>
      </c>
      <c r="M158" s="9" t="s">
        <v>250</v>
      </c>
      <c r="N158" s="13" t="s">
        <v>53</v>
      </c>
      <c r="O158" s="5">
        <v>5</v>
      </c>
      <c r="P158" s="5" t="s">
        <v>26</v>
      </c>
      <c r="Q158" s="5"/>
      <c r="R158" s="17"/>
      <c r="S158" s="17"/>
      <c r="T158" s="18">
        <v>465.722222222222</v>
      </c>
      <c r="U158" s="18">
        <v>2328.61111111111</v>
      </c>
      <c r="V158" s="16"/>
      <c r="W158">
        <f t="shared" si="19"/>
        <v>582.152777777777</v>
      </c>
      <c r="X158">
        <f t="shared" si="20"/>
        <v>2910.76388888889</v>
      </c>
      <c r="Y158">
        <f t="shared" si="21"/>
        <v>82.5748620961387</v>
      </c>
      <c r="Z158">
        <f t="shared" si="22"/>
        <v>412.874310480693</v>
      </c>
      <c r="AA158">
        <f t="shared" si="24"/>
        <v>0.0931444444444444</v>
      </c>
    </row>
    <row r="159" ht="50.4" spans="1:27">
      <c r="A159" s="5">
        <v>13</v>
      </c>
      <c r="B159" s="5" t="s">
        <v>25</v>
      </c>
      <c r="C159" s="5"/>
      <c r="D159" s="5">
        <f t="shared" si="23"/>
        <v>13</v>
      </c>
      <c r="E159" s="5" t="s">
        <v>26</v>
      </c>
      <c r="F159" s="6" t="s">
        <v>332</v>
      </c>
      <c r="G159" s="9" t="s">
        <v>39</v>
      </c>
      <c r="H159" s="9" t="s">
        <v>57</v>
      </c>
      <c r="I159" s="9" t="s">
        <v>55</v>
      </c>
      <c r="J159" s="9"/>
      <c r="K159" s="9" t="s">
        <v>31</v>
      </c>
      <c r="L159" s="9" t="s">
        <v>291</v>
      </c>
      <c r="M159" s="9" t="s">
        <v>142</v>
      </c>
      <c r="N159" s="13" t="s">
        <v>53</v>
      </c>
      <c r="O159" s="5">
        <v>13</v>
      </c>
      <c r="P159" s="5" t="s">
        <v>26</v>
      </c>
      <c r="Q159" s="5"/>
      <c r="R159" s="17"/>
      <c r="S159" s="17"/>
      <c r="T159" s="18">
        <v>157.111111111111</v>
      </c>
      <c r="U159" s="18">
        <v>2042.44444444444</v>
      </c>
      <c r="V159" s="16"/>
      <c r="W159">
        <f t="shared" si="19"/>
        <v>196.388888888889</v>
      </c>
      <c r="X159">
        <f t="shared" si="20"/>
        <v>2553.05555555555</v>
      </c>
      <c r="Y159">
        <f t="shared" si="21"/>
        <v>27.8565799842395</v>
      </c>
      <c r="Z159">
        <f t="shared" si="22"/>
        <v>362.135539795114</v>
      </c>
      <c r="AA159">
        <f t="shared" si="24"/>
        <v>0.0816977777777776</v>
      </c>
    </row>
    <row r="160" ht="50.4" spans="1:27">
      <c r="A160" s="5">
        <v>1</v>
      </c>
      <c r="B160" s="5" t="s">
        <v>25</v>
      </c>
      <c r="C160" s="5"/>
      <c r="D160" s="5">
        <f t="shared" si="23"/>
        <v>1</v>
      </c>
      <c r="E160" s="5" t="s">
        <v>26</v>
      </c>
      <c r="F160" s="6" t="s">
        <v>333</v>
      </c>
      <c r="G160" s="9" t="s">
        <v>39</v>
      </c>
      <c r="H160" s="9" t="s">
        <v>59</v>
      </c>
      <c r="I160" s="9" t="s">
        <v>55</v>
      </c>
      <c r="J160" s="9"/>
      <c r="K160" s="9" t="s">
        <v>31</v>
      </c>
      <c r="L160" s="9" t="s">
        <v>291</v>
      </c>
      <c r="M160" s="9" t="s">
        <v>142</v>
      </c>
      <c r="N160" s="13" t="s">
        <v>53</v>
      </c>
      <c r="O160" s="5">
        <v>1</v>
      </c>
      <c r="P160" s="5" t="s">
        <v>26</v>
      </c>
      <c r="Q160" s="5"/>
      <c r="R160" s="17"/>
      <c r="S160" s="17"/>
      <c r="T160" s="18">
        <v>251.377777777778</v>
      </c>
      <c r="U160" s="18">
        <v>251.377777777778</v>
      </c>
      <c r="V160" s="16"/>
      <c r="W160">
        <f t="shared" si="19"/>
        <v>314.222222222223</v>
      </c>
      <c r="X160">
        <f t="shared" si="20"/>
        <v>314.222222222223</v>
      </c>
      <c r="Y160">
        <f t="shared" si="21"/>
        <v>44.5705279747833</v>
      </c>
      <c r="Z160">
        <f t="shared" si="22"/>
        <v>44.5705279747833</v>
      </c>
      <c r="AA160">
        <f t="shared" si="24"/>
        <v>0.0100551111111111</v>
      </c>
    </row>
    <row r="161" ht="50.4" spans="1:27">
      <c r="A161" s="5">
        <v>16</v>
      </c>
      <c r="B161" s="5" t="s">
        <v>25</v>
      </c>
      <c r="C161" s="5"/>
      <c r="D161" s="5">
        <f t="shared" si="23"/>
        <v>16</v>
      </c>
      <c r="E161" s="5" t="s">
        <v>26</v>
      </c>
      <c r="F161" s="6" t="s">
        <v>334</v>
      </c>
      <c r="G161" s="9" t="s">
        <v>39</v>
      </c>
      <c r="H161" s="9" t="s">
        <v>63</v>
      </c>
      <c r="I161" s="9" t="s">
        <v>64</v>
      </c>
      <c r="J161" s="9"/>
      <c r="K161" s="9" t="s">
        <v>31</v>
      </c>
      <c r="L161" s="9" t="s">
        <v>291</v>
      </c>
      <c r="M161" s="9" t="s">
        <v>142</v>
      </c>
      <c r="N161" s="13" t="s">
        <v>53</v>
      </c>
      <c r="O161" s="5">
        <v>16</v>
      </c>
      <c r="P161" s="5" t="s">
        <v>26</v>
      </c>
      <c r="Q161" s="5"/>
      <c r="R161" s="17"/>
      <c r="S161" s="17"/>
      <c r="T161" s="18">
        <v>567.844444444444</v>
      </c>
      <c r="U161" s="18">
        <v>9085.5111111111</v>
      </c>
      <c r="V161" s="16"/>
      <c r="W161">
        <f t="shared" si="19"/>
        <v>709.805555555555</v>
      </c>
      <c r="X161">
        <f t="shared" si="20"/>
        <v>11356.8888888889</v>
      </c>
      <c r="Y161">
        <f t="shared" si="21"/>
        <v>100.681639085894</v>
      </c>
      <c r="Z161">
        <f t="shared" si="22"/>
        <v>1610.90622537431</v>
      </c>
      <c r="AA161">
        <f t="shared" si="24"/>
        <v>0.363420444444444</v>
      </c>
    </row>
    <row r="162" ht="66" spans="1:27">
      <c r="A162" s="5">
        <v>9</v>
      </c>
      <c r="B162" s="5" t="s">
        <v>25</v>
      </c>
      <c r="C162" s="5"/>
      <c r="D162" s="5">
        <f t="shared" si="23"/>
        <v>9</v>
      </c>
      <c r="E162" s="5" t="s">
        <v>26</v>
      </c>
      <c r="F162" s="6" t="s">
        <v>335</v>
      </c>
      <c r="G162" s="9" t="s">
        <v>39</v>
      </c>
      <c r="H162" s="9" t="s">
        <v>66</v>
      </c>
      <c r="I162" s="9" t="s">
        <v>67</v>
      </c>
      <c r="J162" s="9"/>
      <c r="K162" s="9" t="s">
        <v>31</v>
      </c>
      <c r="L162" s="9" t="s">
        <v>291</v>
      </c>
      <c r="M162" s="9" t="s">
        <v>336</v>
      </c>
      <c r="N162" s="13" t="s">
        <v>53</v>
      </c>
      <c r="O162" s="5">
        <v>9</v>
      </c>
      <c r="P162" s="5" t="s">
        <v>26</v>
      </c>
      <c r="Q162" s="5"/>
      <c r="R162" s="17"/>
      <c r="S162" s="17"/>
      <c r="T162" s="18">
        <v>1122.22222222222</v>
      </c>
      <c r="U162" s="18">
        <v>10100</v>
      </c>
      <c r="V162" s="16"/>
      <c r="W162">
        <f t="shared" si="19"/>
        <v>1402.77777777777</v>
      </c>
      <c r="X162">
        <f t="shared" si="20"/>
        <v>12625</v>
      </c>
      <c r="Y162">
        <f t="shared" si="21"/>
        <v>198.975571315996</v>
      </c>
      <c r="Z162">
        <f t="shared" si="22"/>
        <v>1790.78014184397</v>
      </c>
      <c r="AA162">
        <f t="shared" si="24"/>
        <v>0.404</v>
      </c>
    </row>
    <row r="163" ht="88.8" spans="1:27">
      <c r="A163" s="5">
        <v>1</v>
      </c>
      <c r="B163" s="5" t="s">
        <v>25</v>
      </c>
      <c r="C163" s="5"/>
      <c r="D163" s="5">
        <f t="shared" si="23"/>
        <v>1</v>
      </c>
      <c r="E163" s="5" t="s">
        <v>26</v>
      </c>
      <c r="F163" s="6" t="s">
        <v>337</v>
      </c>
      <c r="G163" s="9" t="s">
        <v>39</v>
      </c>
      <c r="H163" s="9" t="s">
        <v>74</v>
      </c>
      <c r="I163" s="9" t="s">
        <v>75</v>
      </c>
      <c r="J163" s="9"/>
      <c r="K163" s="9" t="s">
        <v>254</v>
      </c>
      <c r="L163" s="9" t="s">
        <v>288</v>
      </c>
      <c r="M163" s="9" t="s">
        <v>338</v>
      </c>
      <c r="N163" s="13" t="s">
        <v>53</v>
      </c>
      <c r="O163" s="5">
        <v>1</v>
      </c>
      <c r="P163" s="5" t="s">
        <v>26</v>
      </c>
      <c r="Q163" s="5"/>
      <c r="R163" s="17"/>
      <c r="S163" s="17"/>
      <c r="T163" s="18">
        <v>58.3555555555556</v>
      </c>
      <c r="U163" s="18">
        <v>58.3555555555556</v>
      </c>
      <c r="V163" s="16"/>
      <c r="W163">
        <f t="shared" si="19"/>
        <v>72.9444444444445</v>
      </c>
      <c r="X163">
        <f t="shared" si="20"/>
        <v>72.9444444444445</v>
      </c>
      <c r="Y163">
        <f t="shared" si="21"/>
        <v>10.3467297084318</v>
      </c>
      <c r="Z163">
        <f t="shared" si="22"/>
        <v>10.3467297084318</v>
      </c>
      <c r="AA163">
        <f t="shared" si="24"/>
        <v>0.00233422222222222</v>
      </c>
    </row>
    <row r="164" ht="69.6" spans="1:27">
      <c r="A164" s="5">
        <v>1</v>
      </c>
      <c r="B164" s="5" t="s">
        <v>25</v>
      </c>
      <c r="C164" s="5"/>
      <c r="D164" s="5">
        <f t="shared" ref="D164:D178" si="25">A164</f>
        <v>1</v>
      </c>
      <c r="E164" s="5" t="s">
        <v>26</v>
      </c>
      <c r="F164" s="6" t="s">
        <v>339</v>
      </c>
      <c r="G164" s="9" t="s">
        <v>150</v>
      </c>
      <c r="H164" s="9" t="s">
        <v>107</v>
      </c>
      <c r="I164" s="9" t="s">
        <v>108</v>
      </c>
      <c r="J164" s="9"/>
      <c r="K164" s="9" t="s">
        <v>31</v>
      </c>
      <c r="L164" s="9" t="s">
        <v>291</v>
      </c>
      <c r="M164" s="9" t="s">
        <v>224</v>
      </c>
      <c r="N164" s="13" t="s">
        <v>53</v>
      </c>
      <c r="O164" s="5">
        <v>1</v>
      </c>
      <c r="P164" s="5" t="s">
        <v>26</v>
      </c>
      <c r="Q164" s="5"/>
      <c r="R164" s="17"/>
      <c r="S164" s="17"/>
      <c r="T164" s="18">
        <v>76.3111111111111</v>
      </c>
      <c r="U164" s="18">
        <v>76.3111111111111</v>
      </c>
      <c r="V164" s="16"/>
      <c r="W164">
        <f t="shared" si="19"/>
        <v>95.3888888888889</v>
      </c>
      <c r="X164">
        <f t="shared" si="20"/>
        <v>95.3888888888889</v>
      </c>
      <c r="Y164">
        <f t="shared" si="21"/>
        <v>13.5303388494878</v>
      </c>
      <c r="Z164">
        <f t="shared" si="22"/>
        <v>13.5303388494878</v>
      </c>
      <c r="AA164">
        <f t="shared" si="24"/>
        <v>0.00305244444444444</v>
      </c>
    </row>
    <row r="165" ht="69.6" spans="1:27">
      <c r="A165" s="5">
        <v>80</v>
      </c>
      <c r="B165" s="5" t="s">
        <v>25</v>
      </c>
      <c r="C165" s="5"/>
      <c r="D165" s="5">
        <f t="shared" si="25"/>
        <v>80</v>
      </c>
      <c r="E165" s="5" t="s">
        <v>26</v>
      </c>
      <c r="F165" s="6" t="s">
        <v>340</v>
      </c>
      <c r="G165" s="9" t="s">
        <v>150</v>
      </c>
      <c r="H165" s="9" t="s">
        <v>196</v>
      </c>
      <c r="I165" s="9" t="s">
        <v>108</v>
      </c>
      <c r="J165" s="9"/>
      <c r="K165" s="9" t="s">
        <v>31</v>
      </c>
      <c r="L165" s="9" t="s">
        <v>291</v>
      </c>
      <c r="M165" s="9" t="s">
        <v>224</v>
      </c>
      <c r="N165" s="13" t="s">
        <v>53</v>
      </c>
      <c r="O165" s="5">
        <v>80</v>
      </c>
      <c r="P165" s="5" t="s">
        <v>26</v>
      </c>
      <c r="Q165" s="5"/>
      <c r="R165" s="17"/>
      <c r="S165" s="17"/>
      <c r="T165" s="18">
        <v>145.888888888889</v>
      </c>
      <c r="U165" s="18">
        <v>11671.1111111111</v>
      </c>
      <c r="V165" s="16"/>
      <c r="W165">
        <f t="shared" si="19"/>
        <v>182.361111111111</v>
      </c>
      <c r="X165">
        <f t="shared" si="20"/>
        <v>14588.8888888889</v>
      </c>
      <c r="Y165">
        <f t="shared" si="21"/>
        <v>25.8668242710796</v>
      </c>
      <c r="Z165">
        <f t="shared" si="22"/>
        <v>2069.34594168637</v>
      </c>
      <c r="AA165">
        <f t="shared" si="24"/>
        <v>0.466844444444444</v>
      </c>
    </row>
    <row r="166" ht="54" spans="1:27">
      <c r="A166" s="5">
        <v>3</v>
      </c>
      <c r="B166" s="5" t="s">
        <v>25</v>
      </c>
      <c r="C166" s="5"/>
      <c r="D166" s="5">
        <f t="shared" si="25"/>
        <v>3</v>
      </c>
      <c r="E166" s="5" t="s">
        <v>26</v>
      </c>
      <c r="F166" s="6" t="s">
        <v>341</v>
      </c>
      <c r="G166" s="9" t="s">
        <v>150</v>
      </c>
      <c r="H166" s="9" t="s">
        <v>155</v>
      </c>
      <c r="I166" s="9" t="s">
        <v>111</v>
      </c>
      <c r="J166" s="9"/>
      <c r="K166" s="9" t="s">
        <v>31</v>
      </c>
      <c r="L166" s="9" t="s">
        <v>291</v>
      </c>
      <c r="M166" s="9" t="s">
        <v>342</v>
      </c>
      <c r="N166" s="13" t="s">
        <v>53</v>
      </c>
      <c r="O166" s="5">
        <v>3</v>
      </c>
      <c r="P166" s="5" t="s">
        <v>26</v>
      </c>
      <c r="Q166" s="19"/>
      <c r="R166" s="17"/>
      <c r="S166" s="17"/>
      <c r="T166" s="18">
        <v>149.255555555556</v>
      </c>
      <c r="U166" s="18">
        <v>447.766666666668</v>
      </c>
      <c r="V166" s="16"/>
      <c r="W166">
        <f t="shared" si="19"/>
        <v>186.569444444445</v>
      </c>
      <c r="X166">
        <f t="shared" si="20"/>
        <v>559.708333333335</v>
      </c>
      <c r="Y166">
        <f t="shared" si="21"/>
        <v>26.4637509850277</v>
      </c>
      <c r="Z166">
        <f t="shared" si="22"/>
        <v>79.391252955083</v>
      </c>
      <c r="AA166">
        <f t="shared" si="24"/>
        <v>0.0179106666666667</v>
      </c>
    </row>
    <row r="167" ht="54" spans="1:27">
      <c r="A167" s="5">
        <v>1</v>
      </c>
      <c r="B167" s="5" t="s">
        <v>25</v>
      </c>
      <c r="C167" s="5"/>
      <c r="D167" s="5">
        <f t="shared" si="25"/>
        <v>1</v>
      </c>
      <c r="E167" s="5" t="s">
        <v>26</v>
      </c>
      <c r="F167" s="6" t="s">
        <v>343</v>
      </c>
      <c r="G167" s="9" t="s">
        <v>150</v>
      </c>
      <c r="H167" s="9" t="s">
        <v>110</v>
      </c>
      <c r="I167" s="9" t="s">
        <v>111</v>
      </c>
      <c r="J167" s="9"/>
      <c r="K167" s="9" t="s">
        <v>31</v>
      </c>
      <c r="L167" s="9" t="s">
        <v>291</v>
      </c>
      <c r="M167" s="9" t="s">
        <v>342</v>
      </c>
      <c r="N167" s="13" t="s">
        <v>53</v>
      </c>
      <c r="O167" s="5">
        <v>1</v>
      </c>
      <c r="P167" s="5" t="s">
        <v>26</v>
      </c>
      <c r="Q167" s="19"/>
      <c r="R167" s="17"/>
      <c r="S167" s="17"/>
      <c r="T167" s="18">
        <v>234.544444444444</v>
      </c>
      <c r="U167" s="18">
        <v>234.544444444444</v>
      </c>
      <c r="V167" s="16"/>
      <c r="W167">
        <f t="shared" si="19"/>
        <v>293.180555555555</v>
      </c>
      <c r="X167">
        <f t="shared" si="20"/>
        <v>293.180555555555</v>
      </c>
      <c r="Y167">
        <f t="shared" si="21"/>
        <v>41.5858944050433</v>
      </c>
      <c r="Z167">
        <f t="shared" si="22"/>
        <v>41.5858944050433</v>
      </c>
      <c r="AA167">
        <f t="shared" si="24"/>
        <v>0.00938177777777776</v>
      </c>
    </row>
    <row r="168" ht="69.6" spans="1:27">
      <c r="A168" s="5">
        <v>58</v>
      </c>
      <c r="B168" s="5" t="s">
        <v>25</v>
      </c>
      <c r="C168" s="5"/>
      <c r="D168" s="5">
        <f t="shared" si="25"/>
        <v>58</v>
      </c>
      <c r="E168" s="5" t="s">
        <v>26</v>
      </c>
      <c r="F168" s="6" t="s">
        <v>344</v>
      </c>
      <c r="G168" s="9" t="s">
        <v>150</v>
      </c>
      <c r="H168" s="9" t="s">
        <v>159</v>
      </c>
      <c r="I168" s="9" t="s">
        <v>160</v>
      </c>
      <c r="J168" s="9"/>
      <c r="K168" s="9" t="s">
        <v>31</v>
      </c>
      <c r="L168" s="9" t="s">
        <v>291</v>
      </c>
      <c r="M168" s="9" t="s">
        <v>224</v>
      </c>
      <c r="N168" s="13" t="s">
        <v>53</v>
      </c>
      <c r="O168" s="5">
        <v>58</v>
      </c>
      <c r="P168" s="5" t="s">
        <v>26</v>
      </c>
      <c r="Q168" s="19"/>
      <c r="R168" s="17"/>
      <c r="S168" s="17"/>
      <c r="T168" s="18">
        <v>1072.84444444444</v>
      </c>
      <c r="U168" s="18">
        <v>62224.9777777775</v>
      </c>
      <c r="V168" s="16"/>
      <c r="W168">
        <f t="shared" si="19"/>
        <v>1341.05555555555</v>
      </c>
      <c r="X168">
        <f t="shared" si="20"/>
        <v>77781.2222222219</v>
      </c>
      <c r="Y168">
        <f t="shared" si="21"/>
        <v>190.220646178092</v>
      </c>
      <c r="Z168">
        <f t="shared" si="22"/>
        <v>11032.7974783293</v>
      </c>
      <c r="AA168">
        <f t="shared" si="24"/>
        <v>2.4889991111111</v>
      </c>
    </row>
    <row r="169" ht="69.6" spans="1:27">
      <c r="A169" s="5">
        <v>1</v>
      </c>
      <c r="B169" s="5" t="s">
        <v>25</v>
      </c>
      <c r="C169" s="5"/>
      <c r="D169" s="5">
        <f t="shared" si="25"/>
        <v>1</v>
      </c>
      <c r="E169" s="5" t="s">
        <v>26</v>
      </c>
      <c r="F169" s="6" t="s">
        <v>345</v>
      </c>
      <c r="G169" s="9" t="s">
        <v>150</v>
      </c>
      <c r="H169" s="9" t="s">
        <v>120</v>
      </c>
      <c r="I169" s="9" t="s">
        <v>117</v>
      </c>
      <c r="J169" s="9"/>
      <c r="K169" s="9" t="s">
        <v>31</v>
      </c>
      <c r="L169" s="9" t="s">
        <v>291</v>
      </c>
      <c r="M169" s="9" t="s">
        <v>224</v>
      </c>
      <c r="N169" s="13" t="s">
        <v>53</v>
      </c>
      <c r="O169" s="5">
        <v>1</v>
      </c>
      <c r="P169" s="5" t="s">
        <v>26</v>
      </c>
      <c r="Q169" s="19"/>
      <c r="R169" s="17"/>
      <c r="S169" s="17"/>
      <c r="T169" s="18">
        <v>1089.67777777778</v>
      </c>
      <c r="U169" s="18">
        <v>1089.67777777778</v>
      </c>
      <c r="V169" s="16"/>
      <c r="W169">
        <f t="shared" si="19"/>
        <v>1362.09722222222</v>
      </c>
      <c r="X169">
        <f t="shared" si="20"/>
        <v>1362.09722222222</v>
      </c>
      <c r="Y169">
        <f t="shared" si="21"/>
        <v>193.205279747833</v>
      </c>
      <c r="Z169">
        <f t="shared" si="22"/>
        <v>193.205279747833</v>
      </c>
      <c r="AA169">
        <f t="shared" si="24"/>
        <v>0.0435871111111112</v>
      </c>
    </row>
    <row r="170" ht="123.6" spans="1:27">
      <c r="A170" s="5">
        <v>24</v>
      </c>
      <c r="B170" s="5" t="s">
        <v>25</v>
      </c>
      <c r="C170" s="5"/>
      <c r="D170" s="5">
        <f t="shared" si="25"/>
        <v>24</v>
      </c>
      <c r="E170" s="5" t="s">
        <v>26</v>
      </c>
      <c r="F170" s="6" t="s">
        <v>346</v>
      </c>
      <c r="G170" s="9" t="s">
        <v>150</v>
      </c>
      <c r="H170" s="9" t="s">
        <v>192</v>
      </c>
      <c r="I170" s="9" t="s">
        <v>193</v>
      </c>
      <c r="J170" s="9"/>
      <c r="K170" s="9" t="s">
        <v>216</v>
      </c>
      <c r="L170" s="9" t="s">
        <v>308</v>
      </c>
      <c r="M170" s="9" t="s">
        <v>347</v>
      </c>
      <c r="N170" s="13" t="s">
        <v>53</v>
      </c>
      <c r="O170" s="5">
        <v>24</v>
      </c>
      <c r="P170" s="5" t="s">
        <v>26</v>
      </c>
      <c r="Q170" s="19"/>
      <c r="R170" s="17"/>
      <c r="S170" s="17"/>
      <c r="T170" s="18">
        <v>1846.05555555556</v>
      </c>
      <c r="U170" s="18">
        <v>44305.3333333334</v>
      </c>
      <c r="V170" s="16" t="s">
        <v>81</v>
      </c>
      <c r="W170">
        <f t="shared" si="19"/>
        <v>2307.56944444445</v>
      </c>
      <c r="X170">
        <f t="shared" si="20"/>
        <v>55381.6666666668</v>
      </c>
      <c r="Y170">
        <f t="shared" si="21"/>
        <v>327.314814814816</v>
      </c>
      <c r="Z170">
        <f t="shared" si="22"/>
        <v>7855.55555555557</v>
      </c>
      <c r="AA170">
        <f t="shared" si="24"/>
        <v>1.77221333333334</v>
      </c>
    </row>
    <row r="171" ht="104.4" spans="1:27">
      <c r="A171" s="5">
        <v>6</v>
      </c>
      <c r="B171" s="5" t="s">
        <v>25</v>
      </c>
      <c r="C171" s="5"/>
      <c r="D171" s="5">
        <f t="shared" si="25"/>
        <v>6</v>
      </c>
      <c r="E171" s="5" t="s">
        <v>26</v>
      </c>
      <c r="F171" s="6" t="s">
        <v>348</v>
      </c>
      <c r="G171" s="9" t="s">
        <v>42</v>
      </c>
      <c r="H171" s="9" t="s">
        <v>79</v>
      </c>
      <c r="I171" s="9" t="s">
        <v>80</v>
      </c>
      <c r="J171" s="9" t="s">
        <v>98</v>
      </c>
      <c r="K171" s="9" t="s">
        <v>44</v>
      </c>
      <c r="L171" s="9" t="s">
        <v>288</v>
      </c>
      <c r="M171" s="9" t="s">
        <v>349</v>
      </c>
      <c r="N171" s="13" t="s">
        <v>53</v>
      </c>
      <c r="O171" s="5">
        <v>6</v>
      </c>
      <c r="P171" s="5" t="s">
        <v>26</v>
      </c>
      <c r="Q171" s="19"/>
      <c r="R171" s="17"/>
      <c r="S171" s="17"/>
      <c r="T171" s="18">
        <v>1082.72</v>
      </c>
      <c r="U171" s="18">
        <v>6496.32</v>
      </c>
      <c r="V171" s="16"/>
      <c r="W171">
        <f t="shared" si="19"/>
        <v>1353.4</v>
      </c>
      <c r="X171">
        <f t="shared" si="20"/>
        <v>8120.4</v>
      </c>
      <c r="Y171">
        <f t="shared" si="21"/>
        <v>191.971631205674</v>
      </c>
      <c r="Z171">
        <f t="shared" si="22"/>
        <v>1151.82978723404</v>
      </c>
      <c r="AA171">
        <f t="shared" si="24"/>
        <v>0.2598528</v>
      </c>
    </row>
    <row r="172" ht="50.4" spans="1:27">
      <c r="A172" s="5">
        <v>22</v>
      </c>
      <c r="B172" s="5" t="s">
        <v>25</v>
      </c>
      <c r="C172" s="5"/>
      <c r="D172" s="5">
        <f t="shared" si="25"/>
        <v>22</v>
      </c>
      <c r="E172" s="5" t="s">
        <v>26</v>
      </c>
      <c r="F172" s="6" t="s">
        <v>350</v>
      </c>
      <c r="G172" s="9" t="s">
        <v>42</v>
      </c>
      <c r="H172" s="9" t="s">
        <v>57</v>
      </c>
      <c r="I172" s="9" t="s">
        <v>55</v>
      </c>
      <c r="J172" s="9" t="s">
        <v>98</v>
      </c>
      <c r="K172" s="9" t="s">
        <v>44</v>
      </c>
      <c r="L172" s="9" t="s">
        <v>288</v>
      </c>
      <c r="M172" s="9" t="s">
        <v>171</v>
      </c>
      <c r="N172" s="13" t="s">
        <v>53</v>
      </c>
      <c r="O172" s="5">
        <v>22</v>
      </c>
      <c r="P172" s="5" t="s">
        <v>26</v>
      </c>
      <c r="Q172" s="19"/>
      <c r="R172" s="17"/>
      <c r="S172" s="17"/>
      <c r="T172" s="18">
        <v>275.73</v>
      </c>
      <c r="U172" s="18">
        <v>6066.06</v>
      </c>
      <c r="V172" s="16"/>
      <c r="W172">
        <f t="shared" si="19"/>
        <v>344.6625</v>
      </c>
      <c r="X172">
        <f t="shared" si="20"/>
        <v>7582.575</v>
      </c>
      <c r="Y172">
        <f t="shared" si="21"/>
        <v>48.8882978723404</v>
      </c>
      <c r="Z172">
        <f t="shared" si="22"/>
        <v>1075.54255319149</v>
      </c>
      <c r="AA172">
        <f t="shared" si="24"/>
        <v>0.2426424</v>
      </c>
    </row>
    <row r="173" ht="50.4" spans="1:27">
      <c r="A173" s="5">
        <v>195</v>
      </c>
      <c r="B173" s="5" t="s">
        <v>25</v>
      </c>
      <c r="C173" s="5"/>
      <c r="D173" s="5">
        <f t="shared" si="25"/>
        <v>195</v>
      </c>
      <c r="E173" s="5" t="s">
        <v>26</v>
      </c>
      <c r="F173" s="6" t="s">
        <v>351</v>
      </c>
      <c r="G173" s="9" t="s">
        <v>42</v>
      </c>
      <c r="H173" s="9" t="s">
        <v>63</v>
      </c>
      <c r="I173" s="9" t="s">
        <v>64</v>
      </c>
      <c r="J173" s="9" t="s">
        <v>98</v>
      </c>
      <c r="K173" s="9" t="s">
        <v>44</v>
      </c>
      <c r="L173" s="9" t="s">
        <v>288</v>
      </c>
      <c r="M173" s="9" t="s">
        <v>171</v>
      </c>
      <c r="N173" s="13" t="s">
        <v>53</v>
      </c>
      <c r="O173" s="5">
        <v>195</v>
      </c>
      <c r="P173" s="5" t="s">
        <v>26</v>
      </c>
      <c r="Q173" s="19"/>
      <c r="R173" s="17"/>
      <c r="S173" s="17"/>
      <c r="T173" s="18">
        <v>596.91</v>
      </c>
      <c r="U173" s="18">
        <v>116397.45</v>
      </c>
      <c r="V173" s="16"/>
      <c r="W173">
        <f t="shared" si="19"/>
        <v>746.1375</v>
      </c>
      <c r="X173">
        <f t="shared" si="20"/>
        <v>145496.8125</v>
      </c>
      <c r="Y173">
        <f t="shared" si="21"/>
        <v>105.835106382979</v>
      </c>
      <c r="Z173">
        <f t="shared" si="22"/>
        <v>20637.8457446808</v>
      </c>
      <c r="AA173">
        <f t="shared" si="24"/>
        <v>4.655898</v>
      </c>
    </row>
    <row r="174" ht="50.4" spans="1:27">
      <c r="A174" s="5">
        <v>10</v>
      </c>
      <c r="B174" s="5" t="s">
        <v>25</v>
      </c>
      <c r="C174" s="5"/>
      <c r="D174" s="5">
        <f t="shared" si="25"/>
        <v>10</v>
      </c>
      <c r="E174" s="5" t="s">
        <v>26</v>
      </c>
      <c r="F174" s="6" t="s">
        <v>352</v>
      </c>
      <c r="G174" s="9" t="s">
        <v>42</v>
      </c>
      <c r="H174" s="9" t="s">
        <v>66</v>
      </c>
      <c r="I174" s="9" t="s">
        <v>67</v>
      </c>
      <c r="J174" s="9" t="s">
        <v>98</v>
      </c>
      <c r="K174" s="9" t="s">
        <v>44</v>
      </c>
      <c r="L174" s="9" t="s">
        <v>288</v>
      </c>
      <c r="M174" s="9" t="s">
        <v>171</v>
      </c>
      <c r="N174" s="13" t="s">
        <v>53</v>
      </c>
      <c r="O174" s="5">
        <v>10</v>
      </c>
      <c r="P174" s="5" t="s">
        <v>26</v>
      </c>
      <c r="Q174" s="19"/>
      <c r="R174" s="17"/>
      <c r="S174" s="17"/>
      <c r="T174" s="18">
        <v>754.47</v>
      </c>
      <c r="U174" s="18">
        <v>7544.7</v>
      </c>
      <c r="V174" s="16"/>
      <c r="W174">
        <f t="shared" si="19"/>
        <v>943.0875</v>
      </c>
      <c r="X174">
        <f t="shared" si="20"/>
        <v>9430.875</v>
      </c>
      <c r="Y174">
        <f t="shared" si="21"/>
        <v>133.771276595745</v>
      </c>
      <c r="Z174">
        <f t="shared" si="22"/>
        <v>1337.71276595745</v>
      </c>
      <c r="AA174">
        <f t="shared" si="24"/>
        <v>0.301788</v>
      </c>
    </row>
    <row r="175" ht="66" spans="1:27">
      <c r="A175" s="5">
        <v>57</v>
      </c>
      <c r="B175" s="5" t="s">
        <v>25</v>
      </c>
      <c r="C175" s="5"/>
      <c r="D175" s="5">
        <f t="shared" si="25"/>
        <v>57</v>
      </c>
      <c r="E175" s="5" t="s">
        <v>26</v>
      </c>
      <c r="F175" s="6" t="s">
        <v>353</v>
      </c>
      <c r="G175" s="9" t="s">
        <v>42</v>
      </c>
      <c r="H175" s="9" t="s">
        <v>74</v>
      </c>
      <c r="I175" s="9" t="s">
        <v>75</v>
      </c>
      <c r="J175" s="9" t="s">
        <v>94</v>
      </c>
      <c r="K175" s="9" t="s">
        <v>44</v>
      </c>
      <c r="L175" s="9" t="s">
        <v>288</v>
      </c>
      <c r="M175" s="9" t="s">
        <v>242</v>
      </c>
      <c r="N175" s="13" t="s">
        <v>53</v>
      </c>
      <c r="O175" s="5">
        <v>57</v>
      </c>
      <c r="P175" s="5" t="s">
        <v>26</v>
      </c>
      <c r="Q175" s="19"/>
      <c r="R175" s="17"/>
      <c r="S175" s="17"/>
      <c r="T175" s="18">
        <v>151.5</v>
      </c>
      <c r="U175" s="18">
        <v>8635.5</v>
      </c>
      <c r="V175" s="16"/>
      <c r="W175">
        <f t="shared" si="19"/>
        <v>189.375</v>
      </c>
      <c r="X175">
        <f t="shared" si="20"/>
        <v>10794.375</v>
      </c>
      <c r="Y175">
        <f t="shared" si="21"/>
        <v>26.8617021276596</v>
      </c>
      <c r="Z175">
        <f t="shared" si="22"/>
        <v>1531.1170212766</v>
      </c>
      <c r="AA175">
        <f t="shared" si="24"/>
        <v>0.34542</v>
      </c>
    </row>
    <row r="176" ht="104.4" spans="1:27">
      <c r="A176" s="10">
        <v>1</v>
      </c>
      <c r="B176" s="5" t="s">
        <v>25</v>
      </c>
      <c r="C176" s="5"/>
      <c r="D176" s="5">
        <f t="shared" si="25"/>
        <v>1</v>
      </c>
      <c r="E176" s="5" t="s">
        <v>26</v>
      </c>
      <c r="F176" s="6" t="s">
        <v>354</v>
      </c>
      <c r="G176" s="9" t="s">
        <v>122</v>
      </c>
      <c r="H176" s="9" t="s">
        <v>196</v>
      </c>
      <c r="I176" s="9" t="s">
        <v>108</v>
      </c>
      <c r="J176" s="9"/>
      <c r="K176" s="9" t="s">
        <v>31</v>
      </c>
      <c r="L176" s="9" t="s">
        <v>291</v>
      </c>
      <c r="M176" s="9" t="s">
        <v>355</v>
      </c>
      <c r="N176" s="13" t="s">
        <v>53</v>
      </c>
      <c r="O176" s="5">
        <v>1</v>
      </c>
      <c r="P176" s="5" t="s">
        <v>26</v>
      </c>
      <c r="Q176" s="19"/>
      <c r="R176" s="17"/>
      <c r="S176" s="17"/>
      <c r="T176" s="18">
        <v>80.8</v>
      </c>
      <c r="U176" s="18">
        <v>80.8</v>
      </c>
      <c r="V176" s="16"/>
      <c r="W176">
        <f t="shared" si="19"/>
        <v>101</v>
      </c>
      <c r="X176">
        <f t="shared" si="20"/>
        <v>101</v>
      </c>
      <c r="Y176">
        <f t="shared" si="21"/>
        <v>14.3262411347518</v>
      </c>
      <c r="Z176">
        <f t="shared" si="22"/>
        <v>14.3262411347518</v>
      </c>
      <c r="AA176">
        <f t="shared" si="24"/>
        <v>0.003232</v>
      </c>
    </row>
    <row r="177" ht="108" spans="1:27">
      <c r="A177" s="5">
        <v>79</v>
      </c>
      <c r="B177" s="5" t="s">
        <v>25</v>
      </c>
      <c r="C177" s="5"/>
      <c r="D177" s="5">
        <f t="shared" si="25"/>
        <v>79</v>
      </c>
      <c r="E177" s="5" t="s">
        <v>26</v>
      </c>
      <c r="F177" s="6" t="s">
        <v>356</v>
      </c>
      <c r="G177" s="9" t="s">
        <v>28</v>
      </c>
      <c r="H177" s="9" t="s">
        <v>74</v>
      </c>
      <c r="I177" s="9" t="s">
        <v>75</v>
      </c>
      <c r="J177" s="9"/>
      <c r="K177" s="9" t="s">
        <v>254</v>
      </c>
      <c r="L177" s="9" t="s">
        <v>288</v>
      </c>
      <c r="M177" s="9" t="s">
        <v>357</v>
      </c>
      <c r="N177" s="13" t="s">
        <v>53</v>
      </c>
      <c r="O177" s="5">
        <v>79</v>
      </c>
      <c r="P177" s="5" t="s">
        <v>26</v>
      </c>
      <c r="Q177" s="19"/>
      <c r="R177" s="17"/>
      <c r="S177" s="17"/>
      <c r="T177" s="18">
        <v>38.1555555555556</v>
      </c>
      <c r="U177" s="18">
        <v>3014.28888888889</v>
      </c>
      <c r="V177" s="16"/>
      <c r="W177">
        <f t="shared" si="19"/>
        <v>47.6944444444445</v>
      </c>
      <c r="X177">
        <f t="shared" si="20"/>
        <v>3767.86111111112</v>
      </c>
      <c r="Y177">
        <f t="shared" si="21"/>
        <v>6.7651694247439</v>
      </c>
      <c r="Z177">
        <f t="shared" si="22"/>
        <v>534.448384554768</v>
      </c>
      <c r="AA177">
        <f t="shared" si="24"/>
        <v>0.120571555555556</v>
      </c>
    </row>
    <row r="178" ht="50.4" spans="1:27">
      <c r="A178" s="10">
        <v>127</v>
      </c>
      <c r="B178" s="5" t="s">
        <v>25</v>
      </c>
      <c r="C178" s="5"/>
      <c r="D178" s="5">
        <f t="shared" si="25"/>
        <v>127</v>
      </c>
      <c r="E178" s="5" t="s">
        <v>26</v>
      </c>
      <c r="F178" s="20" t="s">
        <v>297</v>
      </c>
      <c r="G178" s="9" t="s">
        <v>42</v>
      </c>
      <c r="H178" s="9" t="s">
        <v>59</v>
      </c>
      <c r="I178" s="9" t="s">
        <v>55</v>
      </c>
      <c r="J178" s="9" t="s">
        <v>98</v>
      </c>
      <c r="K178" s="9" t="s">
        <v>44</v>
      </c>
      <c r="L178" s="9" t="s">
        <v>288</v>
      </c>
      <c r="M178" s="9" t="s">
        <v>171</v>
      </c>
      <c r="N178" s="13" t="s">
        <v>53</v>
      </c>
      <c r="O178" s="5">
        <v>127</v>
      </c>
      <c r="P178" s="5" t="s">
        <v>26</v>
      </c>
      <c r="Q178" s="5"/>
      <c r="R178" s="17"/>
      <c r="S178" s="17"/>
      <c r="T178" s="18">
        <v>354.51</v>
      </c>
      <c r="U178" s="18">
        <v>45022.77</v>
      </c>
      <c r="V178" s="16"/>
      <c r="W178">
        <f t="shared" si="19"/>
        <v>443.1375</v>
      </c>
      <c r="X178">
        <f t="shared" si="20"/>
        <v>56278.4625</v>
      </c>
      <c r="Y178">
        <f t="shared" si="21"/>
        <v>62.8563829787234</v>
      </c>
      <c r="Z178">
        <f t="shared" si="22"/>
        <v>7982.76063829787</v>
      </c>
      <c r="AA178">
        <f t="shared" si="24"/>
        <v>1.8009108</v>
      </c>
    </row>
    <row r="179" ht="66" spans="1:27">
      <c r="A179" s="5">
        <v>1</v>
      </c>
      <c r="B179" s="5" t="s">
        <v>25</v>
      </c>
      <c r="C179" s="5"/>
      <c r="D179" s="5">
        <f t="shared" ref="D179:D185" si="26">A179</f>
        <v>1</v>
      </c>
      <c r="E179" s="5" t="s">
        <v>26</v>
      </c>
      <c r="F179" s="6" t="s">
        <v>358</v>
      </c>
      <c r="G179" s="9" t="s">
        <v>42</v>
      </c>
      <c r="H179" s="9" t="s">
        <v>72</v>
      </c>
      <c r="I179" s="9" t="s">
        <v>64</v>
      </c>
      <c r="J179" s="9" t="s">
        <v>94</v>
      </c>
      <c r="K179" s="9" t="s">
        <v>44</v>
      </c>
      <c r="L179" s="9" t="s">
        <v>288</v>
      </c>
      <c r="M179" s="9" t="s">
        <v>242</v>
      </c>
      <c r="N179" s="13" t="s">
        <v>53</v>
      </c>
      <c r="O179" s="5">
        <v>1</v>
      </c>
      <c r="P179" s="5" t="s">
        <v>26</v>
      </c>
      <c r="Q179" s="19"/>
      <c r="R179" s="17"/>
      <c r="S179" s="17"/>
      <c r="T179" s="18">
        <v>101</v>
      </c>
      <c r="U179" s="18">
        <v>101</v>
      </c>
      <c r="V179" s="16"/>
      <c r="W179">
        <f t="shared" si="19"/>
        <v>126.25</v>
      </c>
      <c r="X179">
        <f t="shared" si="20"/>
        <v>126.25</v>
      </c>
      <c r="Y179">
        <f t="shared" si="21"/>
        <v>17.9078014184397</v>
      </c>
      <c r="Z179">
        <f t="shared" si="22"/>
        <v>17.9078014184397</v>
      </c>
      <c r="AA179">
        <f t="shared" si="24"/>
        <v>0.00404</v>
      </c>
    </row>
    <row r="180" ht="108" spans="1:27">
      <c r="A180" s="5">
        <v>2</v>
      </c>
      <c r="B180" s="5" t="s">
        <v>25</v>
      </c>
      <c r="C180" s="5"/>
      <c r="D180" s="5">
        <f t="shared" si="26"/>
        <v>2</v>
      </c>
      <c r="E180" s="5" t="s">
        <v>26</v>
      </c>
      <c r="F180" s="6" t="s">
        <v>359</v>
      </c>
      <c r="G180" s="9" t="s">
        <v>162</v>
      </c>
      <c r="H180" s="9" t="s">
        <v>236</v>
      </c>
      <c r="I180" s="9"/>
      <c r="J180" s="9" t="s">
        <v>94</v>
      </c>
      <c r="K180" s="9" t="s">
        <v>99</v>
      </c>
      <c r="L180" s="9" t="s">
        <v>288</v>
      </c>
      <c r="M180" s="9" t="s">
        <v>164</v>
      </c>
      <c r="N180" s="13" t="s">
        <v>53</v>
      </c>
      <c r="O180" s="5">
        <v>2</v>
      </c>
      <c r="P180" s="5" t="s">
        <v>26</v>
      </c>
      <c r="Q180" s="19"/>
      <c r="R180" s="17"/>
      <c r="S180" s="17"/>
      <c r="T180" s="18">
        <v>166.65</v>
      </c>
      <c r="U180" s="18">
        <v>333.3</v>
      </c>
      <c r="V180" s="16"/>
      <c r="W180">
        <f t="shared" si="19"/>
        <v>208.3125</v>
      </c>
      <c r="X180">
        <f t="shared" si="20"/>
        <v>416.625</v>
      </c>
      <c r="Y180">
        <f t="shared" si="21"/>
        <v>29.5478723404255</v>
      </c>
      <c r="Z180">
        <f t="shared" si="22"/>
        <v>59.0957446808511</v>
      </c>
      <c r="AA180">
        <f t="shared" si="24"/>
        <v>0.013332</v>
      </c>
    </row>
    <row r="181" ht="66" spans="1:27">
      <c r="A181" s="5">
        <v>1</v>
      </c>
      <c r="B181" s="5" t="s">
        <v>25</v>
      </c>
      <c r="C181" s="5"/>
      <c r="D181" s="5">
        <f t="shared" si="26"/>
        <v>1</v>
      </c>
      <c r="E181" s="5" t="s">
        <v>26</v>
      </c>
      <c r="F181" s="6" t="s">
        <v>360</v>
      </c>
      <c r="G181" s="9" t="s">
        <v>42</v>
      </c>
      <c r="H181" s="9" t="s">
        <v>57</v>
      </c>
      <c r="I181" s="9" t="s">
        <v>55</v>
      </c>
      <c r="J181" s="9" t="s">
        <v>98</v>
      </c>
      <c r="K181" s="9" t="s">
        <v>99</v>
      </c>
      <c r="L181" s="9" t="s">
        <v>288</v>
      </c>
      <c r="M181" s="9" t="s">
        <v>361</v>
      </c>
      <c r="N181" s="13" t="s">
        <v>53</v>
      </c>
      <c r="O181" s="5">
        <v>1</v>
      </c>
      <c r="P181" s="5" t="s">
        <v>26</v>
      </c>
      <c r="Q181" s="19"/>
      <c r="R181" s="17"/>
      <c r="S181" s="17"/>
      <c r="T181" s="18">
        <v>275.73</v>
      </c>
      <c r="U181" s="18">
        <v>275.73</v>
      </c>
      <c r="V181" s="16"/>
      <c r="W181">
        <f t="shared" si="19"/>
        <v>344.6625</v>
      </c>
      <c r="X181">
        <f t="shared" si="20"/>
        <v>344.6625</v>
      </c>
      <c r="Y181">
        <f t="shared" si="21"/>
        <v>48.8882978723404</v>
      </c>
      <c r="Z181">
        <f t="shared" si="22"/>
        <v>48.8882978723404</v>
      </c>
      <c r="AA181">
        <f t="shared" si="24"/>
        <v>0.0110292</v>
      </c>
    </row>
    <row r="182" ht="66" spans="1:27">
      <c r="A182" s="5">
        <v>2</v>
      </c>
      <c r="B182" s="5" t="s">
        <v>25</v>
      </c>
      <c r="C182" s="5"/>
      <c r="D182" s="5">
        <f t="shared" si="26"/>
        <v>2</v>
      </c>
      <c r="E182" s="5" t="s">
        <v>26</v>
      </c>
      <c r="F182" s="6" t="s">
        <v>362</v>
      </c>
      <c r="G182" s="9" t="s">
        <v>42</v>
      </c>
      <c r="H182" s="9" t="s">
        <v>74</v>
      </c>
      <c r="I182" s="9" t="s">
        <v>75</v>
      </c>
      <c r="J182" s="9" t="s">
        <v>94</v>
      </c>
      <c r="K182" s="9" t="s">
        <v>99</v>
      </c>
      <c r="L182" s="9" t="s">
        <v>288</v>
      </c>
      <c r="M182" s="9" t="s">
        <v>363</v>
      </c>
      <c r="N182" s="13" t="s">
        <v>53</v>
      </c>
      <c r="O182" s="5">
        <v>2</v>
      </c>
      <c r="P182" s="5" t="s">
        <v>26</v>
      </c>
      <c r="Q182" s="19"/>
      <c r="R182" s="17"/>
      <c r="S182" s="17"/>
      <c r="T182" s="18">
        <v>151.5</v>
      </c>
      <c r="U182" s="18">
        <v>303</v>
      </c>
      <c r="V182" s="16"/>
      <c r="W182">
        <f t="shared" si="19"/>
        <v>189.375</v>
      </c>
      <c r="X182">
        <f t="shared" si="20"/>
        <v>378.75</v>
      </c>
      <c r="Y182">
        <f t="shared" si="21"/>
        <v>26.8617021276596</v>
      </c>
      <c r="Z182">
        <f t="shared" si="22"/>
        <v>53.7234042553192</v>
      </c>
      <c r="AA182">
        <f t="shared" si="24"/>
        <v>0.01212</v>
      </c>
    </row>
    <row r="183" ht="104.4" spans="1:27">
      <c r="A183" s="21">
        <v>12</v>
      </c>
      <c r="B183" s="10" t="s">
        <v>26</v>
      </c>
      <c r="C183" s="10"/>
      <c r="D183" s="5">
        <f t="shared" si="26"/>
        <v>12</v>
      </c>
      <c r="E183" s="5" t="s">
        <v>26</v>
      </c>
      <c r="F183" s="20" t="s">
        <v>364</v>
      </c>
      <c r="G183" s="9" t="s">
        <v>39</v>
      </c>
      <c r="H183" s="9" t="s">
        <v>69</v>
      </c>
      <c r="I183" s="9" t="s">
        <v>64</v>
      </c>
      <c r="J183" s="9"/>
      <c r="K183" s="9" t="s">
        <v>31</v>
      </c>
      <c r="L183" s="9" t="s">
        <v>60</v>
      </c>
      <c r="M183" s="9" t="s">
        <v>365</v>
      </c>
      <c r="N183" s="22" t="s">
        <v>366</v>
      </c>
      <c r="O183" s="5">
        <v>12</v>
      </c>
      <c r="P183" s="5" t="s">
        <v>26</v>
      </c>
      <c r="Q183" s="10"/>
      <c r="R183" s="17"/>
      <c r="S183" s="17"/>
      <c r="T183" s="18">
        <v>22.4444444444444</v>
      </c>
      <c r="U183" s="18">
        <v>269.333333333333</v>
      </c>
      <c r="V183" s="16"/>
      <c r="W183">
        <f t="shared" si="19"/>
        <v>28.0555555555555</v>
      </c>
      <c r="X183">
        <f t="shared" si="20"/>
        <v>336.666666666666</v>
      </c>
      <c r="Y183">
        <f t="shared" si="21"/>
        <v>3.97951142631993</v>
      </c>
      <c r="Z183">
        <f t="shared" si="22"/>
        <v>47.7541371158391</v>
      </c>
      <c r="AA183">
        <f t="shared" si="24"/>
        <v>0.0107733333333333</v>
      </c>
    </row>
    <row r="184" ht="92.4" spans="1:27">
      <c r="A184" s="21">
        <v>7</v>
      </c>
      <c r="B184" s="10" t="s">
        <v>26</v>
      </c>
      <c r="C184" s="10"/>
      <c r="D184" s="5">
        <f t="shared" si="26"/>
        <v>7</v>
      </c>
      <c r="E184" s="5" t="s">
        <v>26</v>
      </c>
      <c r="F184" s="20" t="s">
        <v>367</v>
      </c>
      <c r="G184" s="9" t="s">
        <v>102</v>
      </c>
      <c r="H184" s="9" t="s">
        <v>123</v>
      </c>
      <c r="I184" s="9" t="s">
        <v>114</v>
      </c>
      <c r="J184" s="9"/>
      <c r="K184" s="9" t="s">
        <v>31</v>
      </c>
      <c r="L184" s="9" t="s">
        <v>60</v>
      </c>
      <c r="M184" s="9" t="s">
        <v>368</v>
      </c>
      <c r="N184" s="22" t="s">
        <v>366</v>
      </c>
      <c r="O184" s="5">
        <v>7</v>
      </c>
      <c r="P184" s="5" t="s">
        <v>26</v>
      </c>
      <c r="Q184" s="10"/>
      <c r="R184" s="17"/>
      <c r="S184" s="17"/>
      <c r="T184" s="18">
        <v>13.4666666666667</v>
      </c>
      <c r="U184" s="18">
        <v>94.2666666666669</v>
      </c>
      <c r="V184" s="16"/>
      <c r="W184">
        <f t="shared" si="19"/>
        <v>16.8333333333334</v>
      </c>
      <c r="X184">
        <f t="shared" si="20"/>
        <v>117.833333333334</v>
      </c>
      <c r="Y184">
        <f t="shared" si="21"/>
        <v>2.38770685579197</v>
      </c>
      <c r="Z184">
        <f t="shared" si="22"/>
        <v>16.7139479905438</v>
      </c>
      <c r="AA184">
        <f t="shared" si="24"/>
        <v>0.00377066666666668</v>
      </c>
    </row>
    <row r="185" ht="108" spans="1:27">
      <c r="A185" s="21">
        <v>5</v>
      </c>
      <c r="B185" s="10" t="s">
        <v>26</v>
      </c>
      <c r="C185" s="10"/>
      <c r="D185" s="5">
        <f t="shared" si="26"/>
        <v>5</v>
      </c>
      <c r="E185" s="5" t="s">
        <v>26</v>
      </c>
      <c r="F185" s="20" t="s">
        <v>369</v>
      </c>
      <c r="G185" s="9" t="s">
        <v>102</v>
      </c>
      <c r="H185" s="9" t="s">
        <v>136</v>
      </c>
      <c r="I185" s="9" t="s">
        <v>137</v>
      </c>
      <c r="J185" s="9"/>
      <c r="K185" s="9" t="s">
        <v>31</v>
      </c>
      <c r="L185" s="9" t="s">
        <v>60</v>
      </c>
      <c r="M185" s="9" t="s">
        <v>370</v>
      </c>
      <c r="N185" s="22" t="s">
        <v>366</v>
      </c>
      <c r="O185" s="5">
        <v>5</v>
      </c>
      <c r="P185" s="5" t="s">
        <v>26</v>
      </c>
      <c r="Q185" s="10"/>
      <c r="R185" s="17"/>
      <c r="S185" s="17"/>
      <c r="T185" s="18">
        <v>28.0555555555556</v>
      </c>
      <c r="U185" s="18">
        <v>140.277777777778</v>
      </c>
      <c r="V185" s="16"/>
      <c r="W185">
        <f t="shared" si="19"/>
        <v>35.0694444444445</v>
      </c>
      <c r="X185">
        <f t="shared" si="20"/>
        <v>175.347222222223</v>
      </c>
      <c r="Y185">
        <f t="shared" si="21"/>
        <v>4.97438928289993</v>
      </c>
      <c r="Z185">
        <f t="shared" si="22"/>
        <v>24.8719464144996</v>
      </c>
      <c r="AA185">
        <f t="shared" si="24"/>
        <v>0.00561111111111112</v>
      </c>
    </row>
    <row r="186" ht="104.4" spans="1:27">
      <c r="A186" s="21">
        <v>24</v>
      </c>
      <c r="B186" s="10" t="s">
        <v>26</v>
      </c>
      <c r="C186" s="10"/>
      <c r="D186" s="5">
        <f t="shared" ref="D186:D199" si="27">A186</f>
        <v>24</v>
      </c>
      <c r="E186" s="5" t="s">
        <v>26</v>
      </c>
      <c r="F186" s="20" t="s">
        <v>371</v>
      </c>
      <c r="G186" s="9" t="s">
        <v>42</v>
      </c>
      <c r="H186" s="9" t="s">
        <v>29</v>
      </c>
      <c r="I186" s="9" t="s">
        <v>55</v>
      </c>
      <c r="J186" s="9" t="s">
        <v>98</v>
      </c>
      <c r="K186" s="9" t="s">
        <v>44</v>
      </c>
      <c r="L186" s="9" t="s">
        <v>95</v>
      </c>
      <c r="M186" s="9" t="s">
        <v>372</v>
      </c>
      <c r="N186" s="22" t="s">
        <v>366</v>
      </c>
      <c r="O186" s="5">
        <v>24</v>
      </c>
      <c r="P186" s="5" t="s">
        <v>26</v>
      </c>
      <c r="Q186" s="10"/>
      <c r="R186" s="17"/>
      <c r="S186" s="17"/>
      <c r="T186" s="18">
        <v>131.3</v>
      </c>
      <c r="U186" s="18">
        <v>3151.2</v>
      </c>
      <c r="V186" s="16"/>
      <c r="W186">
        <f t="shared" si="19"/>
        <v>164.125</v>
      </c>
      <c r="X186">
        <f t="shared" si="20"/>
        <v>3939</v>
      </c>
      <c r="Y186">
        <f t="shared" si="21"/>
        <v>23.2801418439716</v>
      </c>
      <c r="Z186">
        <f t="shared" si="22"/>
        <v>558.723404255319</v>
      </c>
      <c r="AA186">
        <f t="shared" si="24"/>
        <v>0.126048</v>
      </c>
    </row>
    <row r="187" ht="92.4" spans="1:27">
      <c r="A187" s="21">
        <v>23</v>
      </c>
      <c r="B187" s="10" t="s">
        <v>26</v>
      </c>
      <c r="C187" s="10"/>
      <c r="D187" s="5">
        <f t="shared" si="27"/>
        <v>23</v>
      </c>
      <c r="E187" s="5" t="s">
        <v>26</v>
      </c>
      <c r="F187" s="20" t="s">
        <v>373</v>
      </c>
      <c r="G187" s="9" t="s">
        <v>37</v>
      </c>
      <c r="H187" s="9" t="s">
        <v>69</v>
      </c>
      <c r="I187" s="9" t="s">
        <v>64</v>
      </c>
      <c r="J187" s="9"/>
      <c r="K187" s="9" t="s">
        <v>31</v>
      </c>
      <c r="L187" s="9" t="s">
        <v>60</v>
      </c>
      <c r="M187" s="9" t="s">
        <v>374</v>
      </c>
      <c r="N187" s="22" t="s">
        <v>366</v>
      </c>
      <c r="O187" s="5">
        <v>23</v>
      </c>
      <c r="P187" s="5" t="s">
        <v>26</v>
      </c>
      <c r="Q187" s="10"/>
      <c r="R187" s="17"/>
      <c r="S187" s="17"/>
      <c r="T187" s="18">
        <v>22.4444444444444</v>
      </c>
      <c r="U187" s="18">
        <v>516.222222222221</v>
      </c>
      <c r="V187" s="16"/>
      <c r="W187">
        <f t="shared" si="19"/>
        <v>28.0555555555555</v>
      </c>
      <c r="X187">
        <f t="shared" si="20"/>
        <v>645.277777777776</v>
      </c>
      <c r="Y187">
        <f t="shared" si="21"/>
        <v>3.97951142631993</v>
      </c>
      <c r="Z187">
        <f t="shared" si="22"/>
        <v>91.5287628053584</v>
      </c>
      <c r="AA187">
        <f t="shared" ref="AA187:AA205" si="28">U187/25000</f>
        <v>0.0206488888888888</v>
      </c>
    </row>
    <row r="188" ht="69.6" spans="1:27">
      <c r="A188" s="21">
        <v>18</v>
      </c>
      <c r="B188" s="10" t="s">
        <v>26</v>
      </c>
      <c r="C188" s="10"/>
      <c r="D188" s="5">
        <f t="shared" si="27"/>
        <v>18</v>
      </c>
      <c r="E188" s="5" t="s">
        <v>26</v>
      </c>
      <c r="F188" s="20" t="s">
        <v>375</v>
      </c>
      <c r="G188" s="9" t="s">
        <v>37</v>
      </c>
      <c r="H188" s="9" t="s">
        <v>72</v>
      </c>
      <c r="I188" s="9" t="s">
        <v>64</v>
      </c>
      <c r="J188" s="9"/>
      <c r="K188" s="9" t="s">
        <v>31</v>
      </c>
      <c r="L188" s="9" t="s">
        <v>60</v>
      </c>
      <c r="M188" s="9" t="s">
        <v>376</v>
      </c>
      <c r="N188" s="22" t="s">
        <v>366</v>
      </c>
      <c r="O188" s="5">
        <v>18</v>
      </c>
      <c r="P188" s="5" t="s">
        <v>26</v>
      </c>
      <c r="Q188" s="10"/>
      <c r="R188" s="17"/>
      <c r="S188" s="17"/>
      <c r="T188" s="18">
        <v>14.5888888888889</v>
      </c>
      <c r="U188" s="18">
        <v>262.6</v>
      </c>
      <c r="V188" s="16"/>
      <c r="W188">
        <f t="shared" si="19"/>
        <v>18.2361111111111</v>
      </c>
      <c r="X188">
        <f t="shared" si="20"/>
        <v>328.25</v>
      </c>
      <c r="Y188">
        <f t="shared" si="21"/>
        <v>2.58668242710796</v>
      </c>
      <c r="Z188">
        <f t="shared" si="22"/>
        <v>46.5602836879433</v>
      </c>
      <c r="AA188">
        <f t="shared" si="28"/>
        <v>0.010504</v>
      </c>
    </row>
    <row r="189" ht="54" spans="1:27">
      <c r="A189" s="10">
        <v>39</v>
      </c>
      <c r="B189" s="10" t="s">
        <v>26</v>
      </c>
      <c r="C189" s="10"/>
      <c r="D189" s="5">
        <f t="shared" si="27"/>
        <v>39</v>
      </c>
      <c r="E189" s="5" t="s">
        <v>26</v>
      </c>
      <c r="F189" s="20" t="s">
        <v>377</v>
      </c>
      <c r="G189" s="9" t="s">
        <v>37</v>
      </c>
      <c r="H189" s="9" t="s">
        <v>57</v>
      </c>
      <c r="I189" s="9" t="s">
        <v>55</v>
      </c>
      <c r="J189" s="9"/>
      <c r="K189" s="9" t="s">
        <v>31</v>
      </c>
      <c r="L189" s="9" t="s">
        <v>60</v>
      </c>
      <c r="M189" s="9" t="s">
        <v>61</v>
      </c>
      <c r="N189" s="22" t="s">
        <v>366</v>
      </c>
      <c r="O189" s="5">
        <v>39</v>
      </c>
      <c r="P189" s="5" t="s">
        <v>26</v>
      </c>
      <c r="Q189" s="10"/>
      <c r="R189" s="17"/>
      <c r="S189" s="17"/>
      <c r="T189" s="18">
        <v>74.0666666666667</v>
      </c>
      <c r="U189" s="18">
        <v>2888.6</v>
      </c>
      <c r="V189" s="16"/>
      <c r="W189">
        <f t="shared" si="19"/>
        <v>92.5833333333334</v>
      </c>
      <c r="X189">
        <f t="shared" si="20"/>
        <v>3610.75</v>
      </c>
      <c r="Y189">
        <f t="shared" si="21"/>
        <v>13.1323877068558</v>
      </c>
      <c r="Z189">
        <f t="shared" si="22"/>
        <v>512.163120567376</v>
      </c>
      <c r="AA189">
        <f t="shared" si="28"/>
        <v>0.115544</v>
      </c>
    </row>
    <row r="190" ht="54" spans="1:27">
      <c r="A190" s="21">
        <v>56</v>
      </c>
      <c r="B190" s="10" t="s">
        <v>26</v>
      </c>
      <c r="C190" s="10"/>
      <c r="D190" s="5">
        <f t="shared" si="27"/>
        <v>56</v>
      </c>
      <c r="E190" s="5" t="s">
        <v>26</v>
      </c>
      <c r="F190" s="20" t="s">
        <v>378</v>
      </c>
      <c r="G190" s="9" t="s">
        <v>37</v>
      </c>
      <c r="H190" s="9" t="s">
        <v>29</v>
      </c>
      <c r="I190" s="9" t="s">
        <v>55</v>
      </c>
      <c r="J190" s="9"/>
      <c r="K190" s="9" t="s">
        <v>31</v>
      </c>
      <c r="L190" s="9" t="s">
        <v>60</v>
      </c>
      <c r="M190" s="9" t="s">
        <v>61</v>
      </c>
      <c r="N190" s="22" t="s">
        <v>366</v>
      </c>
      <c r="O190" s="5">
        <v>56</v>
      </c>
      <c r="P190" s="5" t="s">
        <v>26</v>
      </c>
      <c r="Q190" s="10"/>
      <c r="R190" s="17"/>
      <c r="S190" s="17"/>
      <c r="T190" s="18">
        <v>32.5444444444444</v>
      </c>
      <c r="U190" s="18">
        <v>1822.48888888889</v>
      </c>
      <c r="V190" s="16"/>
      <c r="W190">
        <f t="shared" si="19"/>
        <v>40.6805555555555</v>
      </c>
      <c r="X190">
        <f t="shared" si="20"/>
        <v>2278.11111111111</v>
      </c>
      <c r="Y190">
        <f t="shared" si="21"/>
        <v>5.7702915681639</v>
      </c>
      <c r="Z190">
        <f t="shared" si="22"/>
        <v>323.136327817178</v>
      </c>
      <c r="AA190">
        <f t="shared" si="28"/>
        <v>0.0728995555555556</v>
      </c>
    </row>
    <row r="191" ht="54" spans="1:27">
      <c r="A191" s="21">
        <v>11</v>
      </c>
      <c r="B191" s="10" t="s">
        <v>26</v>
      </c>
      <c r="C191" s="10"/>
      <c r="D191" s="5">
        <f t="shared" si="27"/>
        <v>11</v>
      </c>
      <c r="E191" s="5" t="s">
        <v>26</v>
      </c>
      <c r="F191" s="20" t="s">
        <v>379</v>
      </c>
      <c r="G191" s="9" t="s">
        <v>28</v>
      </c>
      <c r="H191" s="9" t="s">
        <v>69</v>
      </c>
      <c r="I191" s="9" t="s">
        <v>64</v>
      </c>
      <c r="J191" s="9"/>
      <c r="K191" s="9" t="s">
        <v>31</v>
      </c>
      <c r="L191" s="9" t="s">
        <v>60</v>
      </c>
      <c r="M191" s="9" t="s">
        <v>70</v>
      </c>
      <c r="N191" s="22" t="s">
        <v>366</v>
      </c>
      <c r="O191" s="5">
        <v>11</v>
      </c>
      <c r="P191" s="5" t="s">
        <v>26</v>
      </c>
      <c r="Q191" s="10"/>
      <c r="R191" s="17"/>
      <c r="S191" s="17"/>
      <c r="T191" s="18">
        <v>22.4444444444444</v>
      </c>
      <c r="U191" s="18">
        <v>246.888888888888</v>
      </c>
      <c r="V191" s="16"/>
      <c r="W191">
        <f t="shared" si="19"/>
        <v>28.0555555555555</v>
      </c>
      <c r="X191">
        <f t="shared" si="20"/>
        <v>308.611111111111</v>
      </c>
      <c r="Y191">
        <f t="shared" si="21"/>
        <v>3.97951142631993</v>
      </c>
      <c r="Z191">
        <f t="shared" si="22"/>
        <v>43.7746256895192</v>
      </c>
      <c r="AA191">
        <f t="shared" si="28"/>
        <v>0.00987555555555552</v>
      </c>
    </row>
    <row r="192" ht="69.6" spans="1:27">
      <c r="A192" s="21">
        <v>1</v>
      </c>
      <c r="B192" s="10" t="s">
        <v>26</v>
      </c>
      <c r="C192" s="10"/>
      <c r="D192" s="5">
        <f t="shared" si="27"/>
        <v>1</v>
      </c>
      <c r="E192" s="5" t="s">
        <v>26</v>
      </c>
      <c r="F192" s="20" t="s">
        <v>380</v>
      </c>
      <c r="G192" s="9" t="s">
        <v>150</v>
      </c>
      <c r="H192" s="9" t="s">
        <v>136</v>
      </c>
      <c r="I192" s="9" t="s">
        <v>137</v>
      </c>
      <c r="J192" s="9"/>
      <c r="K192" s="9" t="s">
        <v>31</v>
      </c>
      <c r="L192" s="9" t="s">
        <v>60</v>
      </c>
      <c r="M192" s="9" t="s">
        <v>224</v>
      </c>
      <c r="N192" s="22" t="s">
        <v>366</v>
      </c>
      <c r="O192" s="5">
        <v>1</v>
      </c>
      <c r="P192" s="5" t="s">
        <v>26</v>
      </c>
      <c r="Q192" s="10"/>
      <c r="R192" s="17"/>
      <c r="S192" s="17"/>
      <c r="T192" s="18">
        <v>53.8666666666667</v>
      </c>
      <c r="U192" s="18">
        <v>53.8666666666667</v>
      </c>
      <c r="V192" s="16"/>
      <c r="W192">
        <f t="shared" si="19"/>
        <v>67.3333333333334</v>
      </c>
      <c r="X192">
        <f t="shared" si="20"/>
        <v>67.3333333333334</v>
      </c>
      <c r="Y192">
        <f t="shared" si="21"/>
        <v>9.55082742316785</v>
      </c>
      <c r="Z192">
        <f t="shared" si="22"/>
        <v>9.55082742316785</v>
      </c>
      <c r="AA192">
        <f t="shared" si="28"/>
        <v>0.00215466666666667</v>
      </c>
    </row>
    <row r="193" ht="54" spans="1:27">
      <c r="A193" s="21">
        <v>2</v>
      </c>
      <c r="B193" s="10" t="s">
        <v>26</v>
      </c>
      <c r="C193" s="10"/>
      <c r="D193" s="5">
        <f t="shared" si="27"/>
        <v>2</v>
      </c>
      <c r="E193" s="5" t="s">
        <v>26</v>
      </c>
      <c r="F193" s="20" t="s">
        <v>381</v>
      </c>
      <c r="G193" s="9" t="s">
        <v>39</v>
      </c>
      <c r="H193" s="9" t="s">
        <v>72</v>
      </c>
      <c r="I193" s="9" t="s">
        <v>64</v>
      </c>
      <c r="J193" s="9"/>
      <c r="K193" s="9" t="s">
        <v>31</v>
      </c>
      <c r="L193" s="9" t="s">
        <v>60</v>
      </c>
      <c r="M193" s="9" t="s">
        <v>142</v>
      </c>
      <c r="N193" s="22" t="s">
        <v>366</v>
      </c>
      <c r="O193" s="5">
        <v>2</v>
      </c>
      <c r="P193" s="5" t="s">
        <v>26</v>
      </c>
      <c r="Q193" s="10"/>
      <c r="R193" s="17"/>
      <c r="S193" s="17"/>
      <c r="T193" s="18">
        <v>35.9111111111111</v>
      </c>
      <c r="U193" s="18">
        <v>71.8222222222222</v>
      </c>
      <c r="V193" s="16"/>
      <c r="W193">
        <f t="shared" si="19"/>
        <v>44.8888888888889</v>
      </c>
      <c r="X193">
        <f t="shared" si="20"/>
        <v>89.7777777777777</v>
      </c>
      <c r="Y193">
        <f t="shared" si="21"/>
        <v>6.3672182821119</v>
      </c>
      <c r="Z193">
        <f t="shared" si="22"/>
        <v>12.7344365642238</v>
      </c>
      <c r="AA193">
        <f t="shared" si="28"/>
        <v>0.00287288888888889</v>
      </c>
    </row>
    <row r="194" ht="54" spans="1:27">
      <c r="A194" s="21">
        <v>19</v>
      </c>
      <c r="B194" s="10" t="s">
        <v>26</v>
      </c>
      <c r="C194" s="10"/>
      <c r="D194" s="5">
        <f t="shared" si="27"/>
        <v>19</v>
      </c>
      <c r="E194" s="5" t="s">
        <v>26</v>
      </c>
      <c r="F194" s="20" t="s">
        <v>382</v>
      </c>
      <c r="G194" s="9" t="s">
        <v>39</v>
      </c>
      <c r="H194" s="9" t="s">
        <v>29</v>
      </c>
      <c r="I194" s="9" t="s">
        <v>55</v>
      </c>
      <c r="J194" s="9"/>
      <c r="K194" s="9" t="s">
        <v>31</v>
      </c>
      <c r="L194" s="9" t="s">
        <v>60</v>
      </c>
      <c r="M194" s="9" t="s">
        <v>142</v>
      </c>
      <c r="N194" s="22" t="s">
        <v>366</v>
      </c>
      <c r="O194" s="5">
        <v>19</v>
      </c>
      <c r="P194" s="5" t="s">
        <v>26</v>
      </c>
      <c r="Q194" s="10"/>
      <c r="R194" s="17"/>
      <c r="S194" s="17"/>
      <c r="T194" s="18">
        <v>57.2333333333333</v>
      </c>
      <c r="U194" s="18">
        <v>1087.43333333333</v>
      </c>
      <c r="V194" s="16"/>
      <c r="W194">
        <f t="shared" si="19"/>
        <v>71.5416666666666</v>
      </c>
      <c r="X194">
        <f t="shared" si="20"/>
        <v>1359.29166666667</v>
      </c>
      <c r="Y194">
        <f t="shared" si="21"/>
        <v>10.1477541371158</v>
      </c>
      <c r="Z194">
        <f t="shared" si="22"/>
        <v>192.807328605201</v>
      </c>
      <c r="AA194">
        <f t="shared" si="28"/>
        <v>0.0434973333333332</v>
      </c>
    </row>
    <row r="195" ht="127.2" spans="1:27">
      <c r="A195" s="21">
        <v>2</v>
      </c>
      <c r="B195" s="10" t="s">
        <v>26</v>
      </c>
      <c r="C195" s="10"/>
      <c r="D195" s="5">
        <f t="shared" si="27"/>
        <v>2</v>
      </c>
      <c r="E195" s="5" t="s">
        <v>26</v>
      </c>
      <c r="F195" s="20" t="s">
        <v>383</v>
      </c>
      <c r="G195" s="9" t="s">
        <v>277</v>
      </c>
      <c r="H195" s="9" t="s">
        <v>72</v>
      </c>
      <c r="I195" s="9"/>
      <c r="J195" s="9"/>
      <c r="K195" s="9" t="s">
        <v>261</v>
      </c>
      <c r="L195" s="9" t="s">
        <v>262</v>
      </c>
      <c r="M195" s="9" t="s">
        <v>384</v>
      </c>
      <c r="N195" s="22" t="s">
        <v>366</v>
      </c>
      <c r="O195" s="5">
        <v>2</v>
      </c>
      <c r="P195" s="5" t="s">
        <v>26</v>
      </c>
      <c r="Q195" s="10"/>
      <c r="R195" s="17"/>
      <c r="S195" s="17"/>
      <c r="T195" s="18"/>
      <c r="U195" s="18"/>
      <c r="V195" s="16" t="s">
        <v>279</v>
      </c>
      <c r="W195">
        <f t="shared" si="19"/>
        <v>0</v>
      </c>
      <c r="X195">
        <f t="shared" si="20"/>
        <v>0</v>
      </c>
      <c r="Y195">
        <f t="shared" si="21"/>
        <v>0</v>
      </c>
      <c r="Z195">
        <f t="shared" si="22"/>
        <v>0</v>
      </c>
      <c r="AA195">
        <f t="shared" si="28"/>
        <v>0</v>
      </c>
    </row>
    <row r="196" ht="73.2" spans="1:27">
      <c r="A196" s="21">
        <v>2</v>
      </c>
      <c r="B196" s="10" t="s">
        <v>26</v>
      </c>
      <c r="C196" s="10"/>
      <c r="D196" s="5">
        <f t="shared" si="27"/>
        <v>2</v>
      </c>
      <c r="E196" s="5" t="s">
        <v>26</v>
      </c>
      <c r="F196" s="20" t="s">
        <v>385</v>
      </c>
      <c r="G196" s="9" t="s">
        <v>253</v>
      </c>
      <c r="H196" s="9" t="s">
        <v>57</v>
      </c>
      <c r="I196" s="9" t="s">
        <v>55</v>
      </c>
      <c r="J196" s="9"/>
      <c r="K196" s="9" t="s">
        <v>254</v>
      </c>
      <c r="L196" s="9" t="s">
        <v>95</v>
      </c>
      <c r="M196" s="9" t="s">
        <v>386</v>
      </c>
      <c r="N196" s="22" t="s">
        <v>366</v>
      </c>
      <c r="O196" s="5">
        <v>2</v>
      </c>
      <c r="P196" s="5" t="s">
        <v>26</v>
      </c>
      <c r="Q196" s="10"/>
      <c r="R196" s="17"/>
      <c r="S196" s="17"/>
      <c r="T196" s="18">
        <v>48.2555555555556</v>
      </c>
      <c r="U196" s="18">
        <v>96.5111111111112</v>
      </c>
      <c r="V196" s="16"/>
      <c r="W196">
        <f t="shared" ref="W196:W259" si="29">T196*1.25</f>
        <v>60.3194444444445</v>
      </c>
      <c r="X196">
        <f t="shared" ref="X196:X259" si="30">W196*O196</f>
        <v>120.638888888889</v>
      </c>
      <c r="Y196">
        <f t="shared" ref="Y196:Y259" si="31">W196/7.05</f>
        <v>8.55594956658787</v>
      </c>
      <c r="Z196">
        <f t="shared" ref="Z196:Z259" si="32">Y196*O196</f>
        <v>17.1118991331757</v>
      </c>
      <c r="AA196">
        <f t="shared" si="28"/>
        <v>0.00386044444444445</v>
      </c>
    </row>
    <row r="197" ht="54" spans="1:27">
      <c r="A197" s="21">
        <v>4</v>
      </c>
      <c r="B197" s="10" t="s">
        <v>26</v>
      </c>
      <c r="C197" s="10"/>
      <c r="D197" s="5">
        <f t="shared" si="27"/>
        <v>4</v>
      </c>
      <c r="E197" s="5" t="s">
        <v>26</v>
      </c>
      <c r="F197" s="20" t="s">
        <v>387</v>
      </c>
      <c r="G197" s="9" t="s">
        <v>28</v>
      </c>
      <c r="H197" s="9" t="s">
        <v>72</v>
      </c>
      <c r="I197" s="9" t="s">
        <v>64</v>
      </c>
      <c r="J197" s="9"/>
      <c r="K197" s="9" t="s">
        <v>31</v>
      </c>
      <c r="L197" s="9" t="s">
        <v>60</v>
      </c>
      <c r="M197" s="9" t="s">
        <v>61</v>
      </c>
      <c r="N197" s="22" t="s">
        <v>366</v>
      </c>
      <c r="O197" s="5">
        <v>4</v>
      </c>
      <c r="P197" s="5" t="s">
        <v>26</v>
      </c>
      <c r="Q197" s="10"/>
      <c r="R197" s="17"/>
      <c r="S197" s="17"/>
      <c r="T197" s="18">
        <v>14.5888888888889</v>
      </c>
      <c r="U197" s="18">
        <v>58.3555555555556</v>
      </c>
      <c r="V197" s="16"/>
      <c r="W197">
        <f t="shared" si="29"/>
        <v>18.2361111111111</v>
      </c>
      <c r="X197">
        <f t="shared" si="30"/>
        <v>72.9444444444445</v>
      </c>
      <c r="Y197">
        <f t="shared" si="31"/>
        <v>2.58668242710796</v>
      </c>
      <c r="Z197">
        <f t="shared" si="32"/>
        <v>10.3467297084318</v>
      </c>
      <c r="AA197">
        <f t="shared" si="28"/>
        <v>0.00233422222222222</v>
      </c>
    </row>
    <row r="198" ht="54" spans="1:27">
      <c r="A198" s="21">
        <v>144</v>
      </c>
      <c r="B198" s="10" t="s">
        <v>26</v>
      </c>
      <c r="C198" s="10"/>
      <c r="D198" s="5">
        <f t="shared" si="27"/>
        <v>144</v>
      </c>
      <c r="E198" s="5" t="s">
        <v>26</v>
      </c>
      <c r="F198" s="20" t="s">
        <v>388</v>
      </c>
      <c r="G198" s="9" t="s">
        <v>37</v>
      </c>
      <c r="H198" s="9" t="s">
        <v>69</v>
      </c>
      <c r="I198" s="9" t="s">
        <v>64</v>
      </c>
      <c r="J198" s="9"/>
      <c r="K198" s="9" t="s">
        <v>31</v>
      </c>
      <c r="L198" s="9" t="s">
        <v>60</v>
      </c>
      <c r="M198" s="9" t="s">
        <v>61</v>
      </c>
      <c r="N198" s="22" t="s">
        <v>366</v>
      </c>
      <c r="O198" s="5">
        <v>144</v>
      </c>
      <c r="P198" s="5" t="s">
        <v>26</v>
      </c>
      <c r="Q198" s="10"/>
      <c r="R198" s="17"/>
      <c r="S198" s="17"/>
      <c r="T198" s="18">
        <v>11.2222222222222</v>
      </c>
      <c r="U198" s="18">
        <v>1616</v>
      </c>
      <c r="V198" s="16"/>
      <c r="W198">
        <f t="shared" si="29"/>
        <v>14.0277777777778</v>
      </c>
      <c r="X198">
        <f t="shared" si="30"/>
        <v>2020</v>
      </c>
      <c r="Y198">
        <f t="shared" si="31"/>
        <v>1.98975571315996</v>
      </c>
      <c r="Z198">
        <f t="shared" si="32"/>
        <v>286.524822695035</v>
      </c>
      <c r="AA198">
        <f t="shared" si="28"/>
        <v>0.06464</v>
      </c>
    </row>
    <row r="199" ht="54" spans="1:27">
      <c r="A199" s="21">
        <v>24</v>
      </c>
      <c r="B199" s="10" t="s">
        <v>26</v>
      </c>
      <c r="C199" s="10"/>
      <c r="D199" s="5">
        <f t="shared" si="27"/>
        <v>24</v>
      </c>
      <c r="E199" s="5" t="s">
        <v>26</v>
      </c>
      <c r="F199" s="20" t="s">
        <v>389</v>
      </c>
      <c r="G199" s="9" t="s">
        <v>150</v>
      </c>
      <c r="H199" s="9" t="s">
        <v>123</v>
      </c>
      <c r="I199" s="9" t="s">
        <v>114</v>
      </c>
      <c r="J199" s="9"/>
      <c r="K199" s="9" t="s">
        <v>31</v>
      </c>
      <c r="L199" s="9" t="s">
        <v>60</v>
      </c>
      <c r="M199" s="9" t="s">
        <v>342</v>
      </c>
      <c r="N199" s="22" t="s">
        <v>366</v>
      </c>
      <c r="O199" s="5">
        <v>24</v>
      </c>
      <c r="P199" s="5" t="s">
        <v>26</v>
      </c>
      <c r="Q199" s="10"/>
      <c r="R199" s="17"/>
      <c r="S199" s="17"/>
      <c r="T199" s="18">
        <v>35.9111111111111</v>
      </c>
      <c r="U199" s="18">
        <v>861.866666666666</v>
      </c>
      <c r="V199" s="16"/>
      <c r="W199">
        <f t="shared" si="29"/>
        <v>44.8888888888889</v>
      </c>
      <c r="X199">
        <f t="shared" si="30"/>
        <v>1077.33333333333</v>
      </c>
      <c r="Y199">
        <f t="shared" si="31"/>
        <v>6.3672182821119</v>
      </c>
      <c r="Z199">
        <f t="shared" si="32"/>
        <v>152.813238770686</v>
      </c>
      <c r="AA199">
        <f t="shared" si="28"/>
        <v>0.0344746666666666</v>
      </c>
    </row>
    <row r="200" ht="127.2" spans="1:27">
      <c r="A200" s="10">
        <v>10</v>
      </c>
      <c r="B200" s="10" t="s">
        <v>26</v>
      </c>
      <c r="C200" s="10"/>
      <c r="D200" s="5">
        <f t="shared" ref="D200:D217" si="33">A200</f>
        <v>10</v>
      </c>
      <c r="E200" s="5" t="s">
        <v>26</v>
      </c>
      <c r="F200" s="6" t="s">
        <v>390</v>
      </c>
      <c r="G200" s="9" t="s">
        <v>162</v>
      </c>
      <c r="H200" s="9" t="s">
        <v>391</v>
      </c>
      <c r="I200" s="9"/>
      <c r="J200" s="9" t="s">
        <v>98</v>
      </c>
      <c r="K200" s="9" t="s">
        <v>44</v>
      </c>
      <c r="L200" s="9" t="s">
        <v>95</v>
      </c>
      <c r="M200" s="9" t="s">
        <v>392</v>
      </c>
      <c r="N200" s="22" t="s">
        <v>366</v>
      </c>
      <c r="O200" s="5">
        <v>10</v>
      </c>
      <c r="P200" s="5" t="s">
        <v>26</v>
      </c>
      <c r="Q200" s="19"/>
      <c r="R200" s="17"/>
      <c r="S200" s="17"/>
      <c r="T200" s="18">
        <v>212.1</v>
      </c>
      <c r="U200" s="18">
        <v>2121</v>
      </c>
      <c r="V200" s="16"/>
      <c r="W200">
        <f t="shared" si="29"/>
        <v>265.125</v>
      </c>
      <c r="X200">
        <f t="shared" si="30"/>
        <v>2651.25</v>
      </c>
      <c r="Y200">
        <f t="shared" si="31"/>
        <v>37.6063829787234</v>
      </c>
      <c r="Z200">
        <f t="shared" si="32"/>
        <v>376.063829787234</v>
      </c>
      <c r="AA200">
        <f t="shared" si="28"/>
        <v>0.08484</v>
      </c>
    </row>
    <row r="201" ht="111.6" spans="1:27">
      <c r="A201" s="10">
        <v>61</v>
      </c>
      <c r="B201" s="10" t="s">
        <v>26</v>
      </c>
      <c r="C201" s="10"/>
      <c r="D201" s="5">
        <f t="shared" si="33"/>
        <v>61</v>
      </c>
      <c r="E201" s="5" t="s">
        <v>26</v>
      </c>
      <c r="F201" s="6" t="s">
        <v>393</v>
      </c>
      <c r="G201" s="9" t="s">
        <v>394</v>
      </c>
      <c r="H201" s="9" t="s">
        <v>113</v>
      </c>
      <c r="I201" s="9"/>
      <c r="J201" s="9"/>
      <c r="K201" s="9" t="s">
        <v>261</v>
      </c>
      <c r="L201" s="9" t="s">
        <v>395</v>
      </c>
      <c r="M201" s="9" t="s">
        <v>396</v>
      </c>
      <c r="N201" s="22" t="s">
        <v>366</v>
      </c>
      <c r="O201" s="5">
        <v>61</v>
      </c>
      <c r="P201" s="5" t="s">
        <v>26</v>
      </c>
      <c r="Q201" s="19"/>
      <c r="R201" s="17"/>
      <c r="S201" s="17"/>
      <c r="T201" s="18"/>
      <c r="U201" s="18"/>
      <c r="V201" s="16" t="s">
        <v>279</v>
      </c>
      <c r="W201">
        <f t="shared" si="29"/>
        <v>0</v>
      </c>
      <c r="X201">
        <f t="shared" si="30"/>
        <v>0</v>
      </c>
      <c r="Y201">
        <f t="shared" si="31"/>
        <v>0</v>
      </c>
      <c r="Z201">
        <f t="shared" si="32"/>
        <v>0</v>
      </c>
      <c r="AA201">
        <f t="shared" si="28"/>
        <v>0</v>
      </c>
    </row>
    <row r="202" ht="108" spans="1:27">
      <c r="A202" s="10">
        <v>23</v>
      </c>
      <c r="B202" s="10" t="s">
        <v>26</v>
      </c>
      <c r="C202" s="10"/>
      <c r="D202" s="5">
        <f t="shared" si="33"/>
        <v>23</v>
      </c>
      <c r="E202" s="5" t="s">
        <v>26</v>
      </c>
      <c r="F202" s="6" t="s">
        <v>397</v>
      </c>
      <c r="G202" s="9" t="s">
        <v>162</v>
      </c>
      <c r="H202" s="9" t="s">
        <v>163</v>
      </c>
      <c r="I202" s="9"/>
      <c r="J202" s="9" t="s">
        <v>98</v>
      </c>
      <c r="K202" s="9" t="s">
        <v>44</v>
      </c>
      <c r="L202" s="9" t="s">
        <v>95</v>
      </c>
      <c r="M202" s="9" t="s">
        <v>398</v>
      </c>
      <c r="N202" s="22" t="s">
        <v>366</v>
      </c>
      <c r="O202" s="5">
        <v>23</v>
      </c>
      <c r="P202" s="5" t="s">
        <v>26</v>
      </c>
      <c r="Q202" s="19"/>
      <c r="R202" s="17"/>
      <c r="S202" s="17"/>
      <c r="T202" s="18">
        <v>156.55</v>
      </c>
      <c r="U202" s="18">
        <v>3600.65</v>
      </c>
      <c r="V202" s="16"/>
      <c r="W202">
        <f t="shared" si="29"/>
        <v>195.6875</v>
      </c>
      <c r="X202">
        <f t="shared" si="30"/>
        <v>4500.8125</v>
      </c>
      <c r="Y202">
        <f t="shared" si="31"/>
        <v>27.7570921985816</v>
      </c>
      <c r="Z202">
        <f t="shared" si="32"/>
        <v>638.413120567376</v>
      </c>
      <c r="AA202">
        <f t="shared" si="28"/>
        <v>0.144026</v>
      </c>
    </row>
    <row r="203" ht="111.6" spans="1:27">
      <c r="A203" s="10">
        <v>17</v>
      </c>
      <c r="B203" s="10" t="s">
        <v>26</v>
      </c>
      <c r="C203" s="10"/>
      <c r="D203" s="5">
        <f t="shared" si="33"/>
        <v>17</v>
      </c>
      <c r="E203" s="5" t="s">
        <v>26</v>
      </c>
      <c r="F203" s="6" t="s">
        <v>399</v>
      </c>
      <c r="G203" s="9" t="s">
        <v>277</v>
      </c>
      <c r="H203" s="9" t="s">
        <v>69</v>
      </c>
      <c r="I203" s="9"/>
      <c r="J203" s="9"/>
      <c r="K203" s="9" t="s">
        <v>261</v>
      </c>
      <c r="L203" s="9" t="s">
        <v>262</v>
      </c>
      <c r="M203" s="9" t="s">
        <v>400</v>
      </c>
      <c r="N203" s="22" t="s">
        <v>366</v>
      </c>
      <c r="O203" s="5">
        <v>17</v>
      </c>
      <c r="P203" s="5" t="s">
        <v>26</v>
      </c>
      <c r="Q203" s="19"/>
      <c r="R203" s="17"/>
      <c r="S203" s="17"/>
      <c r="T203" s="18"/>
      <c r="U203" s="18"/>
      <c r="V203" s="16" t="s">
        <v>279</v>
      </c>
      <c r="W203">
        <f t="shared" si="29"/>
        <v>0</v>
      </c>
      <c r="X203">
        <f t="shared" si="30"/>
        <v>0</v>
      </c>
      <c r="Y203">
        <f t="shared" si="31"/>
        <v>0</v>
      </c>
      <c r="Z203">
        <f t="shared" si="32"/>
        <v>0</v>
      </c>
      <c r="AA203">
        <f t="shared" si="28"/>
        <v>0</v>
      </c>
    </row>
    <row r="204" ht="54" spans="1:27">
      <c r="A204" s="10">
        <v>1</v>
      </c>
      <c r="B204" s="10" t="s">
        <v>26</v>
      </c>
      <c r="C204" s="10"/>
      <c r="D204" s="5">
        <f t="shared" si="33"/>
        <v>1</v>
      </c>
      <c r="E204" s="5" t="s">
        <v>26</v>
      </c>
      <c r="F204" s="6" t="s">
        <v>401</v>
      </c>
      <c r="G204" s="9" t="s">
        <v>402</v>
      </c>
      <c r="H204" s="9" t="s">
        <v>72</v>
      </c>
      <c r="I204" s="9"/>
      <c r="J204" s="9" t="s">
        <v>94</v>
      </c>
      <c r="K204" s="9" t="s">
        <v>44</v>
      </c>
      <c r="L204" s="9" t="s">
        <v>95</v>
      </c>
      <c r="M204" s="9" t="s">
        <v>403</v>
      </c>
      <c r="N204" s="22" t="s">
        <v>366</v>
      </c>
      <c r="O204" s="5">
        <v>1</v>
      </c>
      <c r="P204" s="5" t="s">
        <v>26</v>
      </c>
      <c r="Q204" s="19"/>
      <c r="R204" s="17"/>
      <c r="S204" s="17"/>
      <c r="T204" s="18">
        <v>50.5</v>
      </c>
      <c r="U204" s="18">
        <v>50.5</v>
      </c>
      <c r="V204" s="16"/>
      <c r="W204">
        <f t="shared" si="29"/>
        <v>63.125</v>
      </c>
      <c r="X204">
        <f t="shared" si="30"/>
        <v>63.125</v>
      </c>
      <c r="Y204">
        <f t="shared" si="31"/>
        <v>8.95390070921986</v>
      </c>
      <c r="Z204">
        <f t="shared" si="32"/>
        <v>8.95390070921986</v>
      </c>
      <c r="AA204">
        <f t="shared" si="28"/>
        <v>0.00202</v>
      </c>
    </row>
    <row r="205" ht="54" spans="1:27">
      <c r="A205" s="10">
        <v>1</v>
      </c>
      <c r="B205" s="10" t="s">
        <v>26</v>
      </c>
      <c r="C205" s="10"/>
      <c r="D205" s="5">
        <f t="shared" si="33"/>
        <v>1</v>
      </c>
      <c r="E205" s="5" t="s">
        <v>26</v>
      </c>
      <c r="F205" s="6" t="s">
        <v>404</v>
      </c>
      <c r="G205" s="9" t="s">
        <v>253</v>
      </c>
      <c r="H205" s="9" t="s">
        <v>29</v>
      </c>
      <c r="I205" s="9" t="s">
        <v>55</v>
      </c>
      <c r="J205" s="9"/>
      <c r="K205" s="9" t="s">
        <v>254</v>
      </c>
      <c r="L205" s="9" t="s">
        <v>95</v>
      </c>
      <c r="M205" s="9" t="s">
        <v>255</v>
      </c>
      <c r="N205" s="22" t="s">
        <v>366</v>
      </c>
      <c r="O205" s="5">
        <v>1</v>
      </c>
      <c r="P205" s="5" t="s">
        <v>26</v>
      </c>
      <c r="Q205" s="19"/>
      <c r="R205" s="17"/>
      <c r="S205" s="17"/>
      <c r="T205" s="18">
        <v>22.4444444444444</v>
      </c>
      <c r="U205" s="18">
        <v>22.4444444444444</v>
      </c>
      <c r="V205" s="16"/>
      <c r="W205">
        <f t="shared" si="29"/>
        <v>28.0555555555555</v>
      </c>
      <c r="X205">
        <f t="shared" si="30"/>
        <v>28.0555555555555</v>
      </c>
      <c r="Y205">
        <f t="shared" si="31"/>
        <v>3.97951142631993</v>
      </c>
      <c r="Z205">
        <f t="shared" si="32"/>
        <v>3.97951142631993</v>
      </c>
      <c r="AA205">
        <f t="shared" si="28"/>
        <v>0.000897777777777776</v>
      </c>
    </row>
    <row r="206" ht="139.2" spans="1:27">
      <c r="A206" s="10">
        <v>23</v>
      </c>
      <c r="B206" s="10" t="s">
        <v>26</v>
      </c>
      <c r="C206" s="10"/>
      <c r="D206" s="5">
        <f t="shared" si="33"/>
        <v>23</v>
      </c>
      <c r="E206" s="5" t="s">
        <v>26</v>
      </c>
      <c r="F206" s="6" t="s">
        <v>405</v>
      </c>
      <c r="G206" s="9" t="s">
        <v>406</v>
      </c>
      <c r="H206" s="9" t="s">
        <v>407</v>
      </c>
      <c r="I206" s="9"/>
      <c r="J206" s="9"/>
      <c r="K206" s="9" t="s">
        <v>408</v>
      </c>
      <c r="L206" s="9" t="s">
        <v>409</v>
      </c>
      <c r="M206" s="9" t="s">
        <v>410</v>
      </c>
      <c r="N206" s="22" t="s">
        <v>366</v>
      </c>
      <c r="O206" s="5">
        <v>23</v>
      </c>
      <c r="P206" s="5" t="s">
        <v>26</v>
      </c>
      <c r="Q206" s="19"/>
      <c r="R206" s="17"/>
      <c r="S206" s="17"/>
      <c r="T206" s="18"/>
      <c r="U206" s="18"/>
      <c r="V206" s="16" t="s">
        <v>411</v>
      </c>
      <c r="W206">
        <f t="shared" si="29"/>
        <v>0</v>
      </c>
      <c r="X206">
        <f t="shared" si="30"/>
        <v>0</v>
      </c>
      <c r="Y206">
        <f t="shared" si="31"/>
        <v>0</v>
      </c>
      <c r="Z206">
        <f t="shared" si="32"/>
        <v>0</v>
      </c>
      <c r="AA206">
        <f>U206/35000</f>
        <v>0</v>
      </c>
    </row>
    <row r="207" ht="54" spans="1:27">
      <c r="A207" s="10">
        <v>44</v>
      </c>
      <c r="B207" s="10" t="s">
        <v>26</v>
      </c>
      <c r="C207" s="10"/>
      <c r="D207" s="5">
        <f t="shared" si="33"/>
        <v>44</v>
      </c>
      <c r="E207" s="5" t="s">
        <v>26</v>
      </c>
      <c r="F207" s="6" t="s">
        <v>412</v>
      </c>
      <c r="G207" s="9" t="s">
        <v>28</v>
      </c>
      <c r="H207" s="9" t="s">
        <v>29</v>
      </c>
      <c r="I207" s="9" t="s">
        <v>55</v>
      </c>
      <c r="J207" s="9"/>
      <c r="K207" s="9" t="s">
        <v>31</v>
      </c>
      <c r="L207" s="9" t="s">
        <v>60</v>
      </c>
      <c r="M207" s="9" t="s">
        <v>61</v>
      </c>
      <c r="N207" s="22" t="s">
        <v>366</v>
      </c>
      <c r="O207" s="5">
        <v>44</v>
      </c>
      <c r="P207" s="5" t="s">
        <v>26</v>
      </c>
      <c r="Q207" s="19"/>
      <c r="R207" s="17"/>
      <c r="S207" s="17"/>
      <c r="T207" s="18">
        <v>19.0777777777778</v>
      </c>
      <c r="U207" s="18">
        <v>839.422222222223</v>
      </c>
      <c r="V207" s="16"/>
      <c r="W207">
        <f t="shared" si="29"/>
        <v>23.8472222222222</v>
      </c>
      <c r="X207">
        <f t="shared" si="30"/>
        <v>1049.27777777778</v>
      </c>
      <c r="Y207">
        <f t="shared" si="31"/>
        <v>3.38258471237195</v>
      </c>
      <c r="Z207">
        <f t="shared" si="32"/>
        <v>148.833727344366</v>
      </c>
      <c r="AA207">
        <f t="shared" ref="AA207:AA216" si="34">U207/25000</f>
        <v>0.0335768888888889</v>
      </c>
    </row>
    <row r="208" ht="54" spans="1:27">
      <c r="A208" s="10">
        <v>7</v>
      </c>
      <c r="B208" s="10" t="s">
        <v>26</v>
      </c>
      <c r="C208" s="10"/>
      <c r="D208" s="5">
        <f t="shared" si="33"/>
        <v>7</v>
      </c>
      <c r="E208" s="5" t="s">
        <v>26</v>
      </c>
      <c r="F208" s="6" t="s">
        <v>413</v>
      </c>
      <c r="G208" s="9" t="s">
        <v>28</v>
      </c>
      <c r="H208" s="9" t="s">
        <v>57</v>
      </c>
      <c r="I208" s="9" t="s">
        <v>55</v>
      </c>
      <c r="J208" s="9"/>
      <c r="K208" s="9" t="s">
        <v>31</v>
      </c>
      <c r="L208" s="9" t="s">
        <v>60</v>
      </c>
      <c r="M208" s="9" t="s">
        <v>61</v>
      </c>
      <c r="N208" s="22" t="s">
        <v>366</v>
      </c>
      <c r="O208" s="5">
        <v>7</v>
      </c>
      <c r="P208" s="5" t="s">
        <v>26</v>
      </c>
      <c r="Q208" s="19"/>
      <c r="R208" s="17"/>
      <c r="S208" s="17"/>
      <c r="T208" s="18">
        <v>43.7666666666667</v>
      </c>
      <c r="U208" s="18">
        <v>306.366666666667</v>
      </c>
      <c r="V208" s="16"/>
      <c r="W208">
        <f t="shared" si="29"/>
        <v>54.7083333333334</v>
      </c>
      <c r="X208">
        <f t="shared" si="30"/>
        <v>382.958333333334</v>
      </c>
      <c r="Y208">
        <f t="shared" si="31"/>
        <v>7.76004728132388</v>
      </c>
      <c r="Z208">
        <f t="shared" si="32"/>
        <v>54.3203309692672</v>
      </c>
      <c r="AA208">
        <f t="shared" si="34"/>
        <v>0.0122546666666667</v>
      </c>
    </row>
    <row r="209" ht="54" spans="1:27">
      <c r="A209" s="10">
        <v>1</v>
      </c>
      <c r="B209" s="10" t="s">
        <v>26</v>
      </c>
      <c r="C209" s="10"/>
      <c r="D209" s="5">
        <f t="shared" si="33"/>
        <v>1</v>
      </c>
      <c r="E209" s="5" t="s">
        <v>26</v>
      </c>
      <c r="F209" s="6" t="s">
        <v>414</v>
      </c>
      <c r="G209" s="9" t="s">
        <v>28</v>
      </c>
      <c r="H209" s="9" t="s">
        <v>59</v>
      </c>
      <c r="I209" s="9" t="s">
        <v>55</v>
      </c>
      <c r="J209" s="9"/>
      <c r="K209" s="9" t="s">
        <v>31</v>
      </c>
      <c r="L209" s="9" t="s">
        <v>60</v>
      </c>
      <c r="M209" s="9" t="s">
        <v>61</v>
      </c>
      <c r="N209" s="22" t="s">
        <v>366</v>
      </c>
      <c r="O209" s="5">
        <v>1</v>
      </c>
      <c r="P209" s="5" t="s">
        <v>26</v>
      </c>
      <c r="Q209" s="19"/>
      <c r="R209" s="17"/>
      <c r="S209" s="17"/>
      <c r="T209" s="18">
        <v>70.7</v>
      </c>
      <c r="U209" s="18">
        <v>70.7</v>
      </c>
      <c r="V209" s="16"/>
      <c r="W209">
        <f t="shared" si="29"/>
        <v>88.375</v>
      </c>
      <c r="X209">
        <f t="shared" si="30"/>
        <v>88.375</v>
      </c>
      <c r="Y209">
        <f t="shared" si="31"/>
        <v>12.5354609929078</v>
      </c>
      <c r="Z209">
        <f t="shared" si="32"/>
        <v>12.5354609929078</v>
      </c>
      <c r="AA209">
        <f t="shared" si="34"/>
        <v>0.002828</v>
      </c>
    </row>
    <row r="210" ht="54" spans="1:27">
      <c r="A210" s="10">
        <v>20</v>
      </c>
      <c r="B210" s="10" t="s">
        <v>26</v>
      </c>
      <c r="C210" s="10"/>
      <c r="D210" s="5">
        <f t="shared" si="33"/>
        <v>20</v>
      </c>
      <c r="E210" s="5" t="s">
        <v>26</v>
      </c>
      <c r="F210" s="6" t="s">
        <v>415</v>
      </c>
      <c r="G210" s="9" t="s">
        <v>28</v>
      </c>
      <c r="H210" s="9" t="s">
        <v>69</v>
      </c>
      <c r="I210" s="9" t="s">
        <v>64</v>
      </c>
      <c r="J210" s="9"/>
      <c r="K210" s="9" t="s">
        <v>31</v>
      </c>
      <c r="L210" s="9" t="s">
        <v>60</v>
      </c>
      <c r="M210" s="9" t="s">
        <v>61</v>
      </c>
      <c r="N210" s="22" t="s">
        <v>366</v>
      </c>
      <c r="O210" s="5">
        <v>20</v>
      </c>
      <c r="P210" s="5" t="s">
        <v>26</v>
      </c>
      <c r="Q210" s="19"/>
      <c r="R210" s="17"/>
      <c r="S210" s="17"/>
      <c r="T210" s="18">
        <v>11.2222222222222</v>
      </c>
      <c r="U210" s="18">
        <v>224.444444444444</v>
      </c>
      <c r="V210" s="16"/>
      <c r="W210">
        <f t="shared" si="29"/>
        <v>14.0277777777778</v>
      </c>
      <c r="X210">
        <f t="shared" si="30"/>
        <v>280.555555555555</v>
      </c>
      <c r="Y210">
        <f t="shared" si="31"/>
        <v>1.98975571315996</v>
      </c>
      <c r="Z210">
        <f t="shared" si="32"/>
        <v>39.7951142631993</v>
      </c>
      <c r="AA210">
        <f t="shared" si="34"/>
        <v>0.00897777777777776</v>
      </c>
    </row>
    <row r="211" ht="54" spans="1:27">
      <c r="A211" s="10">
        <v>1</v>
      </c>
      <c r="B211" s="10" t="s">
        <v>26</v>
      </c>
      <c r="C211" s="10"/>
      <c r="D211" s="5">
        <f t="shared" si="33"/>
        <v>1</v>
      </c>
      <c r="E211" s="5" t="s">
        <v>26</v>
      </c>
      <c r="F211" s="6" t="s">
        <v>416</v>
      </c>
      <c r="G211" s="9" t="s">
        <v>28</v>
      </c>
      <c r="H211" s="9" t="s">
        <v>72</v>
      </c>
      <c r="I211" s="9" t="s">
        <v>64</v>
      </c>
      <c r="J211" s="9"/>
      <c r="K211" s="9" t="s">
        <v>31</v>
      </c>
      <c r="L211" s="9" t="s">
        <v>60</v>
      </c>
      <c r="M211" s="9" t="s">
        <v>70</v>
      </c>
      <c r="N211" s="22" t="s">
        <v>366</v>
      </c>
      <c r="O211" s="5">
        <v>1</v>
      </c>
      <c r="P211" s="5" t="s">
        <v>26</v>
      </c>
      <c r="Q211" s="19"/>
      <c r="R211" s="17"/>
      <c r="S211" s="17"/>
      <c r="T211" s="18">
        <v>33.6666666666667</v>
      </c>
      <c r="U211" s="18">
        <v>33.6666666666667</v>
      </c>
      <c r="V211" s="16"/>
      <c r="W211">
        <f t="shared" si="29"/>
        <v>42.0833333333334</v>
      </c>
      <c r="X211">
        <f t="shared" si="30"/>
        <v>42.0833333333334</v>
      </c>
      <c r="Y211">
        <f t="shared" si="31"/>
        <v>5.96926713947991</v>
      </c>
      <c r="Z211">
        <f t="shared" si="32"/>
        <v>5.96926713947991</v>
      </c>
      <c r="AA211">
        <f t="shared" si="34"/>
        <v>0.00134666666666667</v>
      </c>
    </row>
    <row r="212" ht="54" spans="1:27">
      <c r="A212" s="10">
        <v>8</v>
      </c>
      <c r="B212" s="10" t="s">
        <v>26</v>
      </c>
      <c r="C212" s="10"/>
      <c r="D212" s="5">
        <f t="shared" si="33"/>
        <v>8</v>
      </c>
      <c r="E212" s="5" t="s">
        <v>26</v>
      </c>
      <c r="F212" s="6" t="s">
        <v>417</v>
      </c>
      <c r="G212" s="9" t="s">
        <v>28</v>
      </c>
      <c r="H212" s="9" t="s">
        <v>69</v>
      </c>
      <c r="I212" s="9" t="s">
        <v>64</v>
      </c>
      <c r="J212" s="9"/>
      <c r="K212" s="9" t="s">
        <v>31</v>
      </c>
      <c r="L212" s="9" t="s">
        <v>60</v>
      </c>
      <c r="M212" s="9" t="s">
        <v>70</v>
      </c>
      <c r="N212" s="22" t="s">
        <v>366</v>
      </c>
      <c r="O212" s="5">
        <v>8</v>
      </c>
      <c r="P212" s="5" t="s">
        <v>26</v>
      </c>
      <c r="Q212" s="19"/>
      <c r="R212" s="17"/>
      <c r="S212" s="17"/>
      <c r="T212" s="18">
        <v>22.4444444444444</v>
      </c>
      <c r="U212" s="18">
        <v>179.555555555555</v>
      </c>
      <c r="V212" s="16"/>
      <c r="W212">
        <f t="shared" si="29"/>
        <v>28.0555555555555</v>
      </c>
      <c r="X212">
        <f t="shared" si="30"/>
        <v>224.444444444444</v>
      </c>
      <c r="Y212">
        <f t="shared" si="31"/>
        <v>3.97951142631993</v>
      </c>
      <c r="Z212">
        <f t="shared" si="32"/>
        <v>31.8360914105594</v>
      </c>
      <c r="AA212">
        <f t="shared" si="34"/>
        <v>0.0071822222222222</v>
      </c>
    </row>
    <row r="213" ht="54" spans="1:27">
      <c r="A213" s="10">
        <v>3</v>
      </c>
      <c r="B213" s="10" t="s">
        <v>26</v>
      </c>
      <c r="C213" s="10"/>
      <c r="D213" s="5">
        <f t="shared" si="33"/>
        <v>3</v>
      </c>
      <c r="E213" s="5" t="s">
        <v>26</v>
      </c>
      <c r="F213" s="6" t="s">
        <v>418</v>
      </c>
      <c r="G213" s="9" t="s">
        <v>37</v>
      </c>
      <c r="H213" s="9" t="s">
        <v>59</v>
      </c>
      <c r="I213" s="9" t="s">
        <v>55</v>
      </c>
      <c r="J213" s="9"/>
      <c r="K213" s="9" t="s">
        <v>31</v>
      </c>
      <c r="L213" s="9" t="s">
        <v>60</v>
      </c>
      <c r="M213" s="9" t="s">
        <v>61</v>
      </c>
      <c r="N213" s="22" t="s">
        <v>366</v>
      </c>
      <c r="O213" s="5">
        <v>3</v>
      </c>
      <c r="P213" s="5" t="s">
        <v>26</v>
      </c>
      <c r="Q213" s="19"/>
      <c r="R213" s="17"/>
      <c r="S213" s="17"/>
      <c r="T213" s="18">
        <v>117.833333333333</v>
      </c>
      <c r="U213" s="18">
        <v>353.499999999999</v>
      </c>
      <c r="V213" s="16"/>
      <c r="W213">
        <f t="shared" si="29"/>
        <v>147.291666666666</v>
      </c>
      <c r="X213">
        <f t="shared" si="30"/>
        <v>441.874999999999</v>
      </c>
      <c r="Y213">
        <f t="shared" si="31"/>
        <v>20.8924349881796</v>
      </c>
      <c r="Z213">
        <f t="shared" si="32"/>
        <v>62.6773049645388</v>
      </c>
      <c r="AA213">
        <f t="shared" si="34"/>
        <v>0.01414</v>
      </c>
    </row>
    <row r="214" ht="54" spans="1:27">
      <c r="A214" s="10">
        <v>10</v>
      </c>
      <c r="B214" s="10" t="s">
        <v>26</v>
      </c>
      <c r="C214" s="10"/>
      <c r="D214" s="5">
        <f t="shared" si="33"/>
        <v>10</v>
      </c>
      <c r="E214" s="5" t="s">
        <v>26</v>
      </c>
      <c r="F214" s="6" t="s">
        <v>419</v>
      </c>
      <c r="G214" s="9" t="s">
        <v>42</v>
      </c>
      <c r="H214" s="9" t="s">
        <v>57</v>
      </c>
      <c r="I214" s="9" t="s">
        <v>55</v>
      </c>
      <c r="J214" s="9" t="s">
        <v>98</v>
      </c>
      <c r="K214" s="9" t="s">
        <v>44</v>
      </c>
      <c r="L214" s="9" t="s">
        <v>95</v>
      </c>
      <c r="M214" s="9" t="s">
        <v>171</v>
      </c>
      <c r="N214" s="22" t="s">
        <v>366</v>
      </c>
      <c r="O214" s="5">
        <v>10</v>
      </c>
      <c r="P214" s="5" t="s">
        <v>26</v>
      </c>
      <c r="Q214" s="19"/>
      <c r="R214" s="17"/>
      <c r="S214" s="17"/>
      <c r="T214" s="18">
        <v>169.68</v>
      </c>
      <c r="U214" s="18">
        <v>1696.8</v>
      </c>
      <c r="V214" s="16"/>
      <c r="W214">
        <f t="shared" si="29"/>
        <v>212.1</v>
      </c>
      <c r="X214">
        <f t="shared" si="30"/>
        <v>2121</v>
      </c>
      <c r="Y214">
        <f t="shared" si="31"/>
        <v>30.0851063829787</v>
      </c>
      <c r="Z214">
        <f t="shared" si="32"/>
        <v>300.851063829787</v>
      </c>
      <c r="AA214">
        <f t="shared" si="34"/>
        <v>0.067872</v>
      </c>
    </row>
    <row r="215" ht="66" spans="1:27">
      <c r="A215" s="10">
        <v>77</v>
      </c>
      <c r="B215" s="10" t="s">
        <v>26</v>
      </c>
      <c r="C215" s="10"/>
      <c r="D215" s="5">
        <f t="shared" si="33"/>
        <v>77</v>
      </c>
      <c r="E215" s="5" t="s">
        <v>26</v>
      </c>
      <c r="F215" s="6" t="s">
        <v>420</v>
      </c>
      <c r="G215" s="9" t="s">
        <v>42</v>
      </c>
      <c r="H215" s="9" t="s">
        <v>69</v>
      </c>
      <c r="I215" s="9" t="s">
        <v>64</v>
      </c>
      <c r="J215" s="9" t="s">
        <v>94</v>
      </c>
      <c r="K215" s="9" t="s">
        <v>44</v>
      </c>
      <c r="L215" s="9" t="s">
        <v>95</v>
      </c>
      <c r="M215" s="9" t="s">
        <v>242</v>
      </c>
      <c r="N215" s="22" t="s">
        <v>366</v>
      </c>
      <c r="O215" s="5">
        <v>77</v>
      </c>
      <c r="P215" s="5" t="s">
        <v>26</v>
      </c>
      <c r="Q215" s="19"/>
      <c r="R215" s="17"/>
      <c r="S215" s="17"/>
      <c r="T215" s="18">
        <v>50.5</v>
      </c>
      <c r="U215" s="18">
        <v>3888.5</v>
      </c>
      <c r="V215" s="16"/>
      <c r="W215">
        <f t="shared" si="29"/>
        <v>63.125</v>
      </c>
      <c r="X215">
        <f t="shared" si="30"/>
        <v>4860.625</v>
      </c>
      <c r="Y215">
        <f t="shared" si="31"/>
        <v>8.95390070921986</v>
      </c>
      <c r="Z215">
        <f t="shared" si="32"/>
        <v>689.450354609929</v>
      </c>
      <c r="AA215">
        <f t="shared" si="34"/>
        <v>0.15554</v>
      </c>
    </row>
    <row r="216" ht="54" spans="1:27">
      <c r="A216" s="10">
        <v>24</v>
      </c>
      <c r="B216" s="10" t="s">
        <v>26</v>
      </c>
      <c r="C216" s="10"/>
      <c r="D216" s="5">
        <f t="shared" si="33"/>
        <v>24</v>
      </c>
      <c r="E216" s="5" t="s">
        <v>26</v>
      </c>
      <c r="F216" s="6" t="s">
        <v>421</v>
      </c>
      <c r="G216" s="9" t="s">
        <v>42</v>
      </c>
      <c r="H216" s="9" t="s">
        <v>72</v>
      </c>
      <c r="I216" s="9" t="s">
        <v>64</v>
      </c>
      <c r="J216" s="9" t="s">
        <v>94</v>
      </c>
      <c r="K216" s="9" t="s">
        <v>44</v>
      </c>
      <c r="L216" s="9" t="s">
        <v>95</v>
      </c>
      <c r="M216" s="9" t="s">
        <v>171</v>
      </c>
      <c r="N216" s="22" t="s">
        <v>366</v>
      </c>
      <c r="O216" s="5">
        <v>24</v>
      </c>
      <c r="P216" s="5" t="s">
        <v>26</v>
      </c>
      <c r="Q216" s="19"/>
      <c r="R216" s="17"/>
      <c r="S216" s="17"/>
      <c r="T216" s="18">
        <v>65.65</v>
      </c>
      <c r="U216" s="18">
        <v>1575.6</v>
      </c>
      <c r="V216" s="16"/>
      <c r="W216">
        <f t="shared" si="29"/>
        <v>82.0625</v>
      </c>
      <c r="X216">
        <f t="shared" si="30"/>
        <v>1969.5</v>
      </c>
      <c r="Y216">
        <f t="shared" si="31"/>
        <v>11.6400709219858</v>
      </c>
      <c r="Z216">
        <f t="shared" si="32"/>
        <v>279.36170212766</v>
      </c>
      <c r="AA216">
        <f t="shared" si="34"/>
        <v>0.063024</v>
      </c>
    </row>
    <row r="217" ht="100.8" spans="1:27">
      <c r="A217" s="10">
        <v>10</v>
      </c>
      <c r="B217" s="10" t="s">
        <v>26</v>
      </c>
      <c r="C217" s="10"/>
      <c r="D217" s="5">
        <f t="shared" si="33"/>
        <v>10</v>
      </c>
      <c r="E217" s="5" t="s">
        <v>26</v>
      </c>
      <c r="F217" s="6" t="s">
        <v>422</v>
      </c>
      <c r="G217" s="9" t="s">
        <v>166</v>
      </c>
      <c r="H217" s="9" t="s">
        <v>77</v>
      </c>
      <c r="I217" s="9"/>
      <c r="J217" s="9" t="s">
        <v>423</v>
      </c>
      <c r="K217" s="9" t="s">
        <v>424</v>
      </c>
      <c r="L217" s="9" t="s">
        <v>425</v>
      </c>
      <c r="M217" s="9" t="s">
        <v>426</v>
      </c>
      <c r="N217" s="22" t="s">
        <v>366</v>
      </c>
      <c r="O217" s="5">
        <v>10</v>
      </c>
      <c r="P217" s="5" t="s">
        <v>26</v>
      </c>
      <c r="Q217" s="19"/>
      <c r="R217" s="17"/>
      <c r="S217" s="17"/>
      <c r="T217" s="18">
        <v>51.5</v>
      </c>
      <c r="U217" s="18">
        <v>515</v>
      </c>
      <c r="V217" s="16"/>
      <c r="W217">
        <f t="shared" si="29"/>
        <v>64.375</v>
      </c>
      <c r="X217">
        <f t="shared" si="30"/>
        <v>643.75</v>
      </c>
      <c r="Y217">
        <f t="shared" si="31"/>
        <v>9.13120567375887</v>
      </c>
      <c r="Z217">
        <f t="shared" si="32"/>
        <v>91.3120567375886</v>
      </c>
      <c r="AA217">
        <f>U217/35000</f>
        <v>0.0147142857142857</v>
      </c>
    </row>
    <row r="218" ht="54" spans="1:27">
      <c r="A218" s="10">
        <v>6</v>
      </c>
      <c r="B218" s="10" t="s">
        <v>26</v>
      </c>
      <c r="C218" s="10"/>
      <c r="D218" s="5">
        <f t="shared" ref="D218" si="35">A218</f>
        <v>6</v>
      </c>
      <c r="E218" s="5" t="s">
        <v>26</v>
      </c>
      <c r="F218" s="6" t="s">
        <v>427</v>
      </c>
      <c r="G218" s="9" t="s">
        <v>39</v>
      </c>
      <c r="H218" s="9" t="s">
        <v>57</v>
      </c>
      <c r="I218" s="9" t="s">
        <v>55</v>
      </c>
      <c r="J218" s="9"/>
      <c r="K218" s="9" t="s">
        <v>31</v>
      </c>
      <c r="L218" s="9" t="s">
        <v>60</v>
      </c>
      <c r="M218" s="9" t="s">
        <v>142</v>
      </c>
      <c r="N218" s="22" t="s">
        <v>366</v>
      </c>
      <c r="O218" s="5">
        <v>6</v>
      </c>
      <c r="P218" s="5" t="s">
        <v>26</v>
      </c>
      <c r="Q218" s="19"/>
      <c r="R218" s="17"/>
      <c r="S218" s="17"/>
      <c r="T218" s="18">
        <v>112.222222222222</v>
      </c>
      <c r="U218" s="18">
        <v>673.333333333332</v>
      </c>
      <c r="V218" s="16"/>
      <c r="W218">
        <f t="shared" si="29"/>
        <v>140.277777777777</v>
      </c>
      <c r="X218">
        <f t="shared" si="30"/>
        <v>841.666666666665</v>
      </c>
      <c r="Y218">
        <f t="shared" si="31"/>
        <v>19.8975571315996</v>
      </c>
      <c r="Z218">
        <f t="shared" si="32"/>
        <v>119.385342789598</v>
      </c>
      <c r="AA218">
        <f t="shared" ref="AA218:AA249" si="36">U218/25000</f>
        <v>0.0269333333333333</v>
      </c>
    </row>
    <row r="219" ht="54" spans="1:27">
      <c r="A219" s="10">
        <v>46</v>
      </c>
      <c r="B219" s="5" t="s">
        <v>428</v>
      </c>
      <c r="C219" s="5"/>
      <c r="D219" s="5">
        <f t="shared" ref="D219:D220" si="37">A219</f>
        <v>46</v>
      </c>
      <c r="E219" s="5" t="s">
        <v>26</v>
      </c>
      <c r="F219" s="6" t="s">
        <v>27</v>
      </c>
      <c r="G219" s="9" t="s">
        <v>28</v>
      </c>
      <c r="H219" s="9" t="s">
        <v>29</v>
      </c>
      <c r="I219" s="9" t="s">
        <v>30</v>
      </c>
      <c r="J219" s="9"/>
      <c r="K219" s="9" t="s">
        <v>31</v>
      </c>
      <c r="L219" s="9" t="s">
        <v>60</v>
      </c>
      <c r="M219" s="9" t="s">
        <v>429</v>
      </c>
      <c r="N219" s="12" t="s">
        <v>34</v>
      </c>
      <c r="O219" s="5">
        <v>46</v>
      </c>
      <c r="P219" s="5" t="s">
        <v>26</v>
      </c>
      <c r="Q219" s="5" t="s">
        <v>35</v>
      </c>
      <c r="R219" s="17"/>
      <c r="S219" s="17"/>
      <c r="T219" s="18">
        <v>38.1555555555556</v>
      </c>
      <c r="U219" s="18">
        <v>1755.15555555556</v>
      </c>
      <c r="V219" s="16"/>
      <c r="W219">
        <f t="shared" si="29"/>
        <v>47.6944444444445</v>
      </c>
      <c r="X219">
        <f t="shared" si="30"/>
        <v>2193.94444444445</v>
      </c>
      <c r="Y219">
        <f t="shared" si="31"/>
        <v>6.7651694247439</v>
      </c>
      <c r="Z219">
        <f t="shared" si="32"/>
        <v>311.197793538219</v>
      </c>
      <c r="AA219">
        <f t="shared" si="36"/>
        <v>0.0702062222222224</v>
      </c>
    </row>
    <row r="220" ht="54" spans="1:27">
      <c r="A220" s="10">
        <v>148</v>
      </c>
      <c r="B220" s="5" t="s">
        <v>428</v>
      </c>
      <c r="C220" s="5"/>
      <c r="D220" s="5">
        <f t="shared" si="37"/>
        <v>148</v>
      </c>
      <c r="E220" s="5" t="s">
        <v>26</v>
      </c>
      <c r="F220" s="6" t="s">
        <v>36</v>
      </c>
      <c r="G220" s="9" t="s">
        <v>37</v>
      </c>
      <c r="H220" s="9" t="s">
        <v>29</v>
      </c>
      <c r="I220" s="9" t="s">
        <v>30</v>
      </c>
      <c r="J220" s="9"/>
      <c r="K220" s="9" t="s">
        <v>31</v>
      </c>
      <c r="L220" s="9" t="s">
        <v>60</v>
      </c>
      <c r="M220" s="9" t="s">
        <v>429</v>
      </c>
      <c r="N220" s="12" t="s">
        <v>34</v>
      </c>
      <c r="O220" s="5">
        <v>148</v>
      </c>
      <c r="P220" s="5" t="s">
        <v>26</v>
      </c>
      <c r="Q220" s="5" t="s">
        <v>35</v>
      </c>
      <c r="R220" s="17"/>
      <c r="S220" s="17"/>
      <c r="T220" s="18">
        <v>63.9666666666667</v>
      </c>
      <c r="U220" s="18">
        <v>9467.06666666667</v>
      </c>
      <c r="V220" s="16"/>
      <c r="W220">
        <f t="shared" si="29"/>
        <v>79.9583333333334</v>
      </c>
      <c r="X220">
        <f t="shared" si="30"/>
        <v>11833.8333333333</v>
      </c>
      <c r="Y220">
        <f t="shared" si="31"/>
        <v>11.3416075650118</v>
      </c>
      <c r="Z220">
        <f t="shared" si="32"/>
        <v>1678.55791962175</v>
      </c>
      <c r="AA220">
        <f t="shared" si="36"/>
        <v>0.378682666666667</v>
      </c>
    </row>
    <row r="221" ht="54" spans="1:27">
      <c r="A221" s="10">
        <v>18</v>
      </c>
      <c r="B221" s="5" t="s">
        <v>428</v>
      </c>
      <c r="C221" s="5"/>
      <c r="D221" s="5">
        <f t="shared" ref="D221:D253" si="38">A221</f>
        <v>18</v>
      </c>
      <c r="E221" s="5" t="s">
        <v>26</v>
      </c>
      <c r="F221" s="6" t="s">
        <v>38</v>
      </c>
      <c r="G221" s="9" t="s">
        <v>39</v>
      </c>
      <c r="H221" s="9" t="s">
        <v>29</v>
      </c>
      <c r="I221" s="9" t="s">
        <v>30</v>
      </c>
      <c r="J221" s="9"/>
      <c r="K221" s="9" t="s">
        <v>31</v>
      </c>
      <c r="L221" s="9" t="s">
        <v>60</v>
      </c>
      <c r="M221" s="9" t="s">
        <v>430</v>
      </c>
      <c r="N221" s="12" t="s">
        <v>34</v>
      </c>
      <c r="O221" s="5">
        <v>18</v>
      </c>
      <c r="P221" s="5" t="s">
        <v>26</v>
      </c>
      <c r="Q221" s="5" t="s">
        <v>35</v>
      </c>
      <c r="R221" s="17"/>
      <c r="S221" s="17"/>
      <c r="T221" s="18">
        <v>215.466666666667</v>
      </c>
      <c r="U221" s="18">
        <v>3878.40000000001</v>
      </c>
      <c r="V221" s="16"/>
      <c r="W221">
        <f t="shared" si="29"/>
        <v>269.333333333334</v>
      </c>
      <c r="X221">
        <f t="shared" si="30"/>
        <v>4848.00000000001</v>
      </c>
      <c r="Y221">
        <f t="shared" si="31"/>
        <v>38.2033096926715</v>
      </c>
      <c r="Z221">
        <f t="shared" si="32"/>
        <v>687.659574468086</v>
      </c>
      <c r="AA221">
        <f t="shared" si="36"/>
        <v>0.155136</v>
      </c>
    </row>
    <row r="222" ht="66" spans="1:27">
      <c r="A222" s="10">
        <v>74</v>
      </c>
      <c r="B222" s="5" t="s">
        <v>428</v>
      </c>
      <c r="C222" s="5"/>
      <c r="D222" s="5">
        <f t="shared" si="38"/>
        <v>74</v>
      </c>
      <c r="E222" s="5" t="s">
        <v>26</v>
      </c>
      <c r="F222" s="6" t="s">
        <v>41</v>
      </c>
      <c r="G222" s="9" t="s">
        <v>42</v>
      </c>
      <c r="H222" s="9" t="s">
        <v>29</v>
      </c>
      <c r="I222" s="9" t="s">
        <v>30</v>
      </c>
      <c r="J222" s="9" t="s">
        <v>43</v>
      </c>
      <c r="K222" s="9" t="s">
        <v>44</v>
      </c>
      <c r="L222" s="9" t="s">
        <v>95</v>
      </c>
      <c r="M222" s="9" t="s">
        <v>431</v>
      </c>
      <c r="N222" s="12" t="s">
        <v>34</v>
      </c>
      <c r="O222" s="5">
        <v>74</v>
      </c>
      <c r="P222" s="5" t="s">
        <v>26</v>
      </c>
      <c r="Q222" s="5" t="s">
        <v>35</v>
      </c>
      <c r="R222" s="17"/>
      <c r="S222" s="17"/>
      <c r="T222" s="18">
        <v>254.52</v>
      </c>
      <c r="U222" s="18">
        <v>18834.48</v>
      </c>
      <c r="V222" s="16"/>
      <c r="W222">
        <f t="shared" si="29"/>
        <v>318.15</v>
      </c>
      <c r="X222">
        <f t="shared" si="30"/>
        <v>23543.1</v>
      </c>
      <c r="Y222">
        <f t="shared" si="31"/>
        <v>45.1276595744681</v>
      </c>
      <c r="Z222">
        <f t="shared" si="32"/>
        <v>3339.44680851064</v>
      </c>
      <c r="AA222">
        <f t="shared" si="36"/>
        <v>0.7533792</v>
      </c>
    </row>
    <row r="223" ht="54" spans="1:27">
      <c r="A223" s="10">
        <v>46</v>
      </c>
      <c r="B223" s="5" t="s">
        <v>428</v>
      </c>
      <c r="C223" s="5"/>
      <c r="D223" s="5">
        <f t="shared" si="38"/>
        <v>46</v>
      </c>
      <c r="E223" s="5" t="s">
        <v>26</v>
      </c>
      <c r="F223" s="6" t="s">
        <v>47</v>
      </c>
      <c r="G223" s="9" t="s">
        <v>93</v>
      </c>
      <c r="H223" s="9" t="s">
        <v>29</v>
      </c>
      <c r="I223" s="9"/>
      <c r="J223" s="9" t="s">
        <v>43</v>
      </c>
      <c r="K223" s="9" t="s">
        <v>44</v>
      </c>
      <c r="L223" s="9" t="s">
        <v>95</v>
      </c>
      <c r="M223" s="9" t="s">
        <v>432</v>
      </c>
      <c r="N223" s="12" t="s">
        <v>34</v>
      </c>
      <c r="O223" s="5">
        <v>46</v>
      </c>
      <c r="P223" s="5" t="s">
        <v>26</v>
      </c>
      <c r="Q223" s="5" t="s">
        <v>35</v>
      </c>
      <c r="R223" s="17"/>
      <c r="S223" s="17"/>
      <c r="T223" s="18">
        <v>242.4</v>
      </c>
      <c r="U223" s="18">
        <v>11150.4</v>
      </c>
      <c r="V223" s="16"/>
      <c r="W223">
        <f t="shared" si="29"/>
        <v>303</v>
      </c>
      <c r="X223">
        <f t="shared" si="30"/>
        <v>13938</v>
      </c>
      <c r="Y223">
        <f t="shared" si="31"/>
        <v>42.9787234042553</v>
      </c>
      <c r="Z223">
        <f t="shared" si="32"/>
        <v>1977.02127659574</v>
      </c>
      <c r="AA223">
        <f t="shared" si="36"/>
        <v>0.446016</v>
      </c>
    </row>
    <row r="224" ht="54" spans="1:27">
      <c r="A224" s="10">
        <v>3</v>
      </c>
      <c r="B224" s="5" t="s">
        <v>428</v>
      </c>
      <c r="C224" s="5"/>
      <c r="D224" s="5">
        <f t="shared" si="38"/>
        <v>3</v>
      </c>
      <c r="E224" s="5" t="s">
        <v>26</v>
      </c>
      <c r="F224" s="6" t="s">
        <v>181</v>
      </c>
      <c r="G224" s="9" t="s">
        <v>28</v>
      </c>
      <c r="H224" s="9" t="s">
        <v>72</v>
      </c>
      <c r="I224" s="9" t="s">
        <v>64</v>
      </c>
      <c r="J224" s="9"/>
      <c r="K224" s="9" t="s">
        <v>31</v>
      </c>
      <c r="L224" s="9" t="s">
        <v>60</v>
      </c>
      <c r="M224" s="9" t="s">
        <v>61</v>
      </c>
      <c r="N224" s="13" t="s">
        <v>53</v>
      </c>
      <c r="O224" s="5">
        <v>3</v>
      </c>
      <c r="P224" s="5" t="s">
        <v>26</v>
      </c>
      <c r="Q224" s="5"/>
      <c r="R224" s="17"/>
      <c r="S224" s="17"/>
      <c r="T224" s="18">
        <v>14.5888888888889</v>
      </c>
      <c r="U224" s="18">
        <v>43.7666666666667</v>
      </c>
      <c r="V224" s="16"/>
      <c r="W224">
        <f t="shared" si="29"/>
        <v>18.2361111111111</v>
      </c>
      <c r="X224">
        <f t="shared" si="30"/>
        <v>54.7083333333334</v>
      </c>
      <c r="Y224">
        <f t="shared" si="31"/>
        <v>2.58668242710796</v>
      </c>
      <c r="Z224">
        <f t="shared" si="32"/>
        <v>7.76004728132388</v>
      </c>
      <c r="AA224">
        <f t="shared" si="36"/>
        <v>0.00175066666666667</v>
      </c>
    </row>
    <row r="225" ht="69.6" spans="1:27">
      <c r="A225" s="10">
        <v>5</v>
      </c>
      <c r="B225" s="5" t="s">
        <v>428</v>
      </c>
      <c r="C225" s="5"/>
      <c r="D225" s="5">
        <f t="shared" si="38"/>
        <v>5</v>
      </c>
      <c r="E225" s="5" t="s">
        <v>26</v>
      </c>
      <c r="F225" s="6" t="s">
        <v>183</v>
      </c>
      <c r="G225" s="9" t="s">
        <v>28</v>
      </c>
      <c r="H225" s="9" t="s">
        <v>79</v>
      </c>
      <c r="I225" s="9" t="s">
        <v>80</v>
      </c>
      <c r="J225" s="9"/>
      <c r="K225" s="9" t="s">
        <v>31</v>
      </c>
      <c r="L225" s="9" t="s">
        <v>60</v>
      </c>
      <c r="M225" s="9" t="s">
        <v>433</v>
      </c>
      <c r="N225" s="13" t="s">
        <v>53</v>
      </c>
      <c r="O225" s="5">
        <v>5</v>
      </c>
      <c r="P225" s="5" t="s">
        <v>26</v>
      </c>
      <c r="Q225" s="5"/>
      <c r="R225" s="17"/>
      <c r="S225" s="17"/>
      <c r="T225" s="18">
        <v>634.055555555556</v>
      </c>
      <c r="U225" s="18">
        <v>3170.27777777778</v>
      </c>
      <c r="V225" s="16" t="s">
        <v>81</v>
      </c>
      <c r="W225">
        <f t="shared" si="29"/>
        <v>792.569444444445</v>
      </c>
      <c r="X225">
        <f t="shared" si="30"/>
        <v>3962.84722222223</v>
      </c>
      <c r="Y225">
        <f t="shared" si="31"/>
        <v>112.421197793538</v>
      </c>
      <c r="Z225">
        <f t="shared" si="32"/>
        <v>562.105988967691</v>
      </c>
      <c r="AA225">
        <f t="shared" si="36"/>
        <v>0.126811111111111</v>
      </c>
    </row>
    <row r="226" ht="92.4" spans="1:27">
      <c r="A226" s="10">
        <v>6</v>
      </c>
      <c r="B226" s="5" t="s">
        <v>428</v>
      </c>
      <c r="C226" s="5"/>
      <c r="D226" s="5">
        <f t="shared" si="38"/>
        <v>6</v>
      </c>
      <c r="E226" s="5" t="s">
        <v>26</v>
      </c>
      <c r="F226" s="6" t="s">
        <v>49</v>
      </c>
      <c r="G226" s="9" t="s">
        <v>28</v>
      </c>
      <c r="H226" s="9" t="s">
        <v>50</v>
      </c>
      <c r="I226" s="9" t="s">
        <v>51</v>
      </c>
      <c r="J226" s="9"/>
      <c r="K226" s="9" t="s">
        <v>31</v>
      </c>
      <c r="L226" s="9" t="s">
        <v>60</v>
      </c>
      <c r="M226" s="9" t="s">
        <v>434</v>
      </c>
      <c r="N226" s="13" t="s">
        <v>53</v>
      </c>
      <c r="O226" s="5">
        <v>6</v>
      </c>
      <c r="P226" s="5" t="s">
        <v>26</v>
      </c>
      <c r="Q226" s="5"/>
      <c r="R226" s="17"/>
      <c r="S226" s="17"/>
      <c r="T226" s="18">
        <v>934.811111111111</v>
      </c>
      <c r="U226" s="18">
        <v>5608.86666666667</v>
      </c>
      <c r="V226" s="16" t="s">
        <v>81</v>
      </c>
      <c r="W226">
        <f t="shared" si="29"/>
        <v>1168.51388888889</v>
      </c>
      <c r="X226">
        <f t="shared" si="30"/>
        <v>7011.08333333333</v>
      </c>
      <c r="Y226">
        <f t="shared" si="31"/>
        <v>165.746650906225</v>
      </c>
      <c r="Z226">
        <f t="shared" si="32"/>
        <v>994.479905437352</v>
      </c>
      <c r="AA226">
        <f t="shared" si="36"/>
        <v>0.224354666666667</v>
      </c>
    </row>
    <row r="227" ht="54" spans="1:27">
      <c r="A227" s="10">
        <v>66</v>
      </c>
      <c r="B227" s="5" t="s">
        <v>428</v>
      </c>
      <c r="C227" s="5"/>
      <c r="D227" s="5">
        <f t="shared" si="38"/>
        <v>66</v>
      </c>
      <c r="E227" s="5" t="s">
        <v>26</v>
      </c>
      <c r="F227" s="6" t="s">
        <v>58</v>
      </c>
      <c r="G227" s="9" t="s">
        <v>28</v>
      </c>
      <c r="H227" s="9" t="s">
        <v>59</v>
      </c>
      <c r="I227" s="9" t="s">
        <v>55</v>
      </c>
      <c r="J227" s="9"/>
      <c r="K227" s="9" t="s">
        <v>31</v>
      </c>
      <c r="L227" s="9" t="s">
        <v>60</v>
      </c>
      <c r="M227" s="9" t="s">
        <v>61</v>
      </c>
      <c r="N227" s="13" t="s">
        <v>53</v>
      </c>
      <c r="O227" s="5">
        <v>66</v>
      </c>
      <c r="P227" s="5" t="s">
        <v>26</v>
      </c>
      <c r="Q227" s="5"/>
      <c r="R227" s="17"/>
      <c r="S227" s="17"/>
      <c r="T227" s="18">
        <v>70.7</v>
      </c>
      <c r="U227" s="18">
        <v>4666.2</v>
      </c>
      <c r="V227" s="16"/>
      <c r="W227">
        <f t="shared" si="29"/>
        <v>88.375</v>
      </c>
      <c r="X227">
        <f t="shared" si="30"/>
        <v>5832.75</v>
      </c>
      <c r="Y227">
        <f t="shared" si="31"/>
        <v>12.5354609929078</v>
      </c>
      <c r="Z227">
        <f t="shared" si="32"/>
        <v>827.340425531915</v>
      </c>
      <c r="AA227">
        <f t="shared" si="36"/>
        <v>0.186648</v>
      </c>
    </row>
    <row r="228" ht="54" spans="1:27">
      <c r="A228" s="10">
        <v>4</v>
      </c>
      <c r="B228" s="5" t="s">
        <v>428</v>
      </c>
      <c r="C228" s="5"/>
      <c r="D228" s="5">
        <f t="shared" si="38"/>
        <v>4</v>
      </c>
      <c r="E228" s="5" t="s">
        <v>26</v>
      </c>
      <c r="F228" s="6" t="s">
        <v>62</v>
      </c>
      <c r="G228" s="9" t="s">
        <v>28</v>
      </c>
      <c r="H228" s="9" t="s">
        <v>63</v>
      </c>
      <c r="I228" s="9" t="s">
        <v>64</v>
      </c>
      <c r="J228" s="9"/>
      <c r="K228" s="9" t="s">
        <v>31</v>
      </c>
      <c r="L228" s="9" t="s">
        <v>60</v>
      </c>
      <c r="M228" s="9" t="s">
        <v>61</v>
      </c>
      <c r="N228" s="13" t="s">
        <v>53</v>
      </c>
      <c r="O228" s="5">
        <v>4</v>
      </c>
      <c r="P228" s="5" t="s">
        <v>26</v>
      </c>
      <c r="Q228" s="5"/>
      <c r="R228" s="17"/>
      <c r="S228" s="17"/>
      <c r="T228" s="18">
        <v>173.944444444444</v>
      </c>
      <c r="U228" s="18">
        <v>695.777777777776</v>
      </c>
      <c r="V228" s="16"/>
      <c r="W228">
        <f t="shared" si="29"/>
        <v>217.430555555555</v>
      </c>
      <c r="X228">
        <f t="shared" si="30"/>
        <v>869.72222222222</v>
      </c>
      <c r="Y228">
        <f t="shared" si="31"/>
        <v>30.8412135539794</v>
      </c>
      <c r="Z228">
        <f t="shared" si="32"/>
        <v>123.364854215918</v>
      </c>
      <c r="AA228">
        <f t="shared" si="36"/>
        <v>0.027831111111111</v>
      </c>
    </row>
    <row r="229" ht="54" spans="1:27">
      <c r="A229" s="10">
        <v>70</v>
      </c>
      <c r="B229" s="5" t="s">
        <v>428</v>
      </c>
      <c r="C229" s="5"/>
      <c r="D229" s="5">
        <f t="shared" si="38"/>
        <v>70</v>
      </c>
      <c r="E229" s="5" t="s">
        <v>26</v>
      </c>
      <c r="F229" s="6" t="s">
        <v>65</v>
      </c>
      <c r="G229" s="9" t="s">
        <v>28</v>
      </c>
      <c r="H229" s="9" t="s">
        <v>66</v>
      </c>
      <c r="I229" s="9" t="s">
        <v>67</v>
      </c>
      <c r="J229" s="9"/>
      <c r="K229" s="9" t="s">
        <v>31</v>
      </c>
      <c r="L229" s="9" t="s">
        <v>60</v>
      </c>
      <c r="M229" s="9" t="s">
        <v>61</v>
      </c>
      <c r="N229" s="13" t="s">
        <v>53</v>
      </c>
      <c r="O229" s="5">
        <v>70</v>
      </c>
      <c r="P229" s="5" t="s">
        <v>26</v>
      </c>
      <c r="Q229" s="5"/>
      <c r="R229" s="17"/>
      <c r="S229" s="17"/>
      <c r="T229" s="18">
        <v>372.577777777778</v>
      </c>
      <c r="U229" s="18">
        <v>26080.4444444445</v>
      </c>
      <c r="V229" s="16"/>
      <c r="W229">
        <f t="shared" si="29"/>
        <v>465.722222222223</v>
      </c>
      <c r="X229">
        <f t="shared" si="30"/>
        <v>32600.5555555556</v>
      </c>
      <c r="Y229">
        <f t="shared" si="31"/>
        <v>66.059889676911</v>
      </c>
      <c r="Z229">
        <f t="shared" si="32"/>
        <v>4624.19227738377</v>
      </c>
      <c r="AA229">
        <f t="shared" si="36"/>
        <v>1.04321777777778</v>
      </c>
    </row>
    <row r="230" ht="54" spans="1:27">
      <c r="A230" s="10">
        <v>3</v>
      </c>
      <c r="B230" s="5" t="s">
        <v>428</v>
      </c>
      <c r="C230" s="5"/>
      <c r="D230" s="5">
        <f t="shared" si="38"/>
        <v>3</v>
      </c>
      <c r="E230" s="5" t="s">
        <v>26</v>
      </c>
      <c r="F230" s="6" t="s">
        <v>68</v>
      </c>
      <c r="G230" s="9" t="s">
        <v>28</v>
      </c>
      <c r="H230" s="9" t="s">
        <v>69</v>
      </c>
      <c r="I230" s="9" t="s">
        <v>64</v>
      </c>
      <c r="J230" s="9"/>
      <c r="K230" s="9" t="s">
        <v>31</v>
      </c>
      <c r="L230" s="9" t="s">
        <v>60</v>
      </c>
      <c r="M230" s="9" t="s">
        <v>247</v>
      </c>
      <c r="N230" s="13" t="s">
        <v>53</v>
      </c>
      <c r="O230" s="5">
        <v>3</v>
      </c>
      <c r="P230" s="5" t="s">
        <v>26</v>
      </c>
      <c r="Q230" s="5"/>
      <c r="R230" s="17"/>
      <c r="S230" s="17"/>
      <c r="T230" s="18">
        <v>22.4444444444444</v>
      </c>
      <c r="U230" s="18">
        <v>67.3333333333332</v>
      </c>
      <c r="V230" s="16"/>
      <c r="W230">
        <f t="shared" si="29"/>
        <v>28.0555555555555</v>
      </c>
      <c r="X230">
        <f t="shared" si="30"/>
        <v>84.1666666666665</v>
      </c>
      <c r="Y230">
        <f t="shared" si="31"/>
        <v>3.97951142631993</v>
      </c>
      <c r="Z230">
        <f t="shared" si="32"/>
        <v>11.9385342789598</v>
      </c>
      <c r="AA230">
        <f t="shared" si="36"/>
        <v>0.00269333333333333</v>
      </c>
    </row>
    <row r="231" ht="54" spans="1:27">
      <c r="A231" s="10">
        <v>25</v>
      </c>
      <c r="B231" s="5" t="s">
        <v>428</v>
      </c>
      <c r="C231" s="5"/>
      <c r="D231" s="5">
        <f t="shared" si="38"/>
        <v>25</v>
      </c>
      <c r="E231" s="5" t="s">
        <v>26</v>
      </c>
      <c r="F231" s="6" t="s">
        <v>71</v>
      </c>
      <c r="G231" s="9" t="s">
        <v>28</v>
      </c>
      <c r="H231" s="9" t="s">
        <v>72</v>
      </c>
      <c r="I231" s="9" t="s">
        <v>64</v>
      </c>
      <c r="J231" s="9"/>
      <c r="K231" s="9" t="s">
        <v>31</v>
      </c>
      <c r="L231" s="9" t="s">
        <v>60</v>
      </c>
      <c r="M231" s="9" t="s">
        <v>70</v>
      </c>
      <c r="N231" s="13" t="s">
        <v>53</v>
      </c>
      <c r="O231" s="5">
        <v>25</v>
      </c>
      <c r="P231" s="5" t="s">
        <v>26</v>
      </c>
      <c r="Q231" s="5"/>
      <c r="R231" s="17"/>
      <c r="S231" s="17"/>
      <c r="T231" s="18">
        <v>33.6666666666667</v>
      </c>
      <c r="U231" s="18">
        <v>841.666666666668</v>
      </c>
      <c r="V231" s="16"/>
      <c r="W231">
        <f t="shared" si="29"/>
        <v>42.0833333333334</v>
      </c>
      <c r="X231">
        <f t="shared" si="30"/>
        <v>1052.08333333333</v>
      </c>
      <c r="Y231">
        <f t="shared" si="31"/>
        <v>5.96926713947991</v>
      </c>
      <c r="Z231">
        <f t="shared" si="32"/>
        <v>149.231678486998</v>
      </c>
      <c r="AA231">
        <f t="shared" si="36"/>
        <v>0.0336666666666667</v>
      </c>
    </row>
    <row r="232" ht="54" spans="1:27">
      <c r="A232" s="10">
        <v>13</v>
      </c>
      <c r="B232" s="5" t="s">
        <v>428</v>
      </c>
      <c r="C232" s="5"/>
      <c r="D232" s="5">
        <f t="shared" si="38"/>
        <v>13</v>
      </c>
      <c r="E232" s="5" t="s">
        <v>26</v>
      </c>
      <c r="F232" s="6" t="s">
        <v>184</v>
      </c>
      <c r="G232" s="9" t="s">
        <v>28</v>
      </c>
      <c r="H232" s="9" t="s">
        <v>74</v>
      </c>
      <c r="I232" s="9" t="s">
        <v>75</v>
      </c>
      <c r="J232" s="9"/>
      <c r="K232" s="9" t="s">
        <v>31</v>
      </c>
      <c r="L232" s="9" t="s">
        <v>60</v>
      </c>
      <c r="M232" s="9" t="s">
        <v>70</v>
      </c>
      <c r="N232" s="13" t="s">
        <v>53</v>
      </c>
      <c r="O232" s="5">
        <v>13</v>
      </c>
      <c r="P232" s="5" t="s">
        <v>26</v>
      </c>
      <c r="Q232" s="5"/>
      <c r="R232" s="17"/>
      <c r="S232" s="17"/>
      <c r="T232" s="18">
        <v>39.2777777777778</v>
      </c>
      <c r="U232" s="18">
        <v>510.611111111111</v>
      </c>
      <c r="V232" s="16"/>
      <c r="W232">
        <f t="shared" si="29"/>
        <v>49.0972222222222</v>
      </c>
      <c r="X232">
        <f t="shared" si="30"/>
        <v>638.263888888889</v>
      </c>
      <c r="Y232">
        <f t="shared" si="31"/>
        <v>6.96414499605989</v>
      </c>
      <c r="Z232">
        <f t="shared" si="32"/>
        <v>90.5338849487786</v>
      </c>
      <c r="AA232">
        <f t="shared" si="36"/>
        <v>0.0204244444444444</v>
      </c>
    </row>
    <row r="233" ht="54" spans="1:27">
      <c r="A233" s="10">
        <v>60</v>
      </c>
      <c r="B233" s="5" t="s">
        <v>428</v>
      </c>
      <c r="C233" s="5"/>
      <c r="D233" s="5">
        <f t="shared" si="38"/>
        <v>60</v>
      </c>
      <c r="E233" s="5" t="s">
        <v>26</v>
      </c>
      <c r="F233" s="6" t="s">
        <v>73</v>
      </c>
      <c r="G233" s="9" t="s">
        <v>37</v>
      </c>
      <c r="H233" s="9" t="s">
        <v>74</v>
      </c>
      <c r="I233" s="9" t="s">
        <v>75</v>
      </c>
      <c r="J233" s="9"/>
      <c r="K233" s="9" t="s">
        <v>31</v>
      </c>
      <c r="L233" s="9" t="s">
        <v>60</v>
      </c>
      <c r="M233" s="9" t="s">
        <v>61</v>
      </c>
      <c r="N233" s="13" t="s">
        <v>53</v>
      </c>
      <c r="O233" s="5">
        <v>60</v>
      </c>
      <c r="P233" s="5" t="s">
        <v>26</v>
      </c>
      <c r="Q233" s="5"/>
      <c r="R233" s="17"/>
      <c r="S233" s="17"/>
      <c r="T233" s="18">
        <v>20.2</v>
      </c>
      <c r="U233" s="18">
        <v>1212</v>
      </c>
      <c r="V233" s="16"/>
      <c r="W233">
        <f t="shared" si="29"/>
        <v>25.25</v>
      </c>
      <c r="X233">
        <f t="shared" si="30"/>
        <v>1515</v>
      </c>
      <c r="Y233">
        <f t="shared" si="31"/>
        <v>3.58156028368794</v>
      </c>
      <c r="Z233">
        <f t="shared" si="32"/>
        <v>214.893617021277</v>
      </c>
      <c r="AA233">
        <f t="shared" si="36"/>
        <v>0.04848</v>
      </c>
    </row>
    <row r="234" ht="54" spans="1:27">
      <c r="A234" s="10">
        <v>66</v>
      </c>
      <c r="B234" s="5" t="s">
        <v>428</v>
      </c>
      <c r="C234" s="5"/>
      <c r="D234" s="5">
        <f t="shared" si="38"/>
        <v>66</v>
      </c>
      <c r="E234" s="5" t="s">
        <v>26</v>
      </c>
      <c r="F234" s="6" t="s">
        <v>83</v>
      </c>
      <c r="G234" s="9" t="s">
        <v>37</v>
      </c>
      <c r="H234" s="9" t="s">
        <v>29</v>
      </c>
      <c r="I234" s="9" t="s">
        <v>55</v>
      </c>
      <c r="J234" s="9"/>
      <c r="K234" s="9" t="s">
        <v>31</v>
      </c>
      <c r="L234" s="9" t="s">
        <v>60</v>
      </c>
      <c r="M234" s="9" t="s">
        <v>61</v>
      </c>
      <c r="N234" s="13" t="s">
        <v>53</v>
      </c>
      <c r="O234" s="5">
        <v>66</v>
      </c>
      <c r="P234" s="5" t="s">
        <v>26</v>
      </c>
      <c r="Q234" s="5"/>
      <c r="R234" s="17"/>
      <c r="S234" s="17"/>
      <c r="T234" s="18">
        <v>32.5444444444444</v>
      </c>
      <c r="U234" s="18">
        <v>2147.93333333333</v>
      </c>
      <c r="V234" s="16"/>
      <c r="W234">
        <f t="shared" si="29"/>
        <v>40.6805555555555</v>
      </c>
      <c r="X234">
        <f t="shared" si="30"/>
        <v>2684.91666666666</v>
      </c>
      <c r="Y234">
        <f t="shared" si="31"/>
        <v>5.7702915681639</v>
      </c>
      <c r="Z234">
        <f t="shared" si="32"/>
        <v>380.839243498817</v>
      </c>
      <c r="AA234">
        <f t="shared" si="36"/>
        <v>0.0859173333333332</v>
      </c>
    </row>
    <row r="235" ht="54" spans="1:27">
      <c r="A235" s="10">
        <v>72</v>
      </c>
      <c r="B235" s="5" t="s">
        <v>428</v>
      </c>
      <c r="C235" s="5"/>
      <c r="D235" s="5">
        <f t="shared" si="38"/>
        <v>72</v>
      </c>
      <c r="E235" s="5" t="s">
        <v>26</v>
      </c>
      <c r="F235" s="6" t="s">
        <v>85</v>
      </c>
      <c r="G235" s="9" t="s">
        <v>37</v>
      </c>
      <c r="H235" s="9" t="s">
        <v>59</v>
      </c>
      <c r="I235" s="9" t="s">
        <v>55</v>
      </c>
      <c r="J235" s="9"/>
      <c r="K235" s="9" t="s">
        <v>31</v>
      </c>
      <c r="L235" s="9" t="s">
        <v>60</v>
      </c>
      <c r="M235" s="9" t="s">
        <v>61</v>
      </c>
      <c r="N235" s="13" t="s">
        <v>53</v>
      </c>
      <c r="O235" s="5">
        <v>72</v>
      </c>
      <c r="P235" s="5" t="s">
        <v>26</v>
      </c>
      <c r="Q235" s="5"/>
      <c r="R235" s="17"/>
      <c r="S235" s="17"/>
      <c r="T235" s="18">
        <v>117.833333333333</v>
      </c>
      <c r="U235" s="18">
        <v>8483.99999999998</v>
      </c>
      <c r="V235" s="16"/>
      <c r="W235">
        <f t="shared" si="29"/>
        <v>147.291666666666</v>
      </c>
      <c r="X235">
        <f t="shared" si="30"/>
        <v>10605</v>
      </c>
      <c r="Y235">
        <f t="shared" si="31"/>
        <v>20.8924349881796</v>
      </c>
      <c r="Z235">
        <f t="shared" si="32"/>
        <v>1504.25531914893</v>
      </c>
      <c r="AA235">
        <f t="shared" si="36"/>
        <v>0.339359999999999</v>
      </c>
    </row>
    <row r="236" ht="54" spans="1:27">
      <c r="A236" s="10">
        <v>28</v>
      </c>
      <c r="B236" s="5" t="s">
        <v>428</v>
      </c>
      <c r="C236" s="5"/>
      <c r="D236" s="5">
        <f t="shared" si="38"/>
        <v>28</v>
      </c>
      <c r="E236" s="5" t="s">
        <v>26</v>
      </c>
      <c r="F236" s="6" t="s">
        <v>88</v>
      </c>
      <c r="G236" s="9" t="s">
        <v>37</v>
      </c>
      <c r="H236" s="9" t="s">
        <v>77</v>
      </c>
      <c r="I236" s="9" t="s">
        <v>64</v>
      </c>
      <c r="J236" s="9"/>
      <c r="K236" s="9" t="s">
        <v>31</v>
      </c>
      <c r="L236" s="9" t="s">
        <v>60</v>
      </c>
      <c r="M236" s="9" t="s">
        <v>70</v>
      </c>
      <c r="N236" s="13" t="s">
        <v>53</v>
      </c>
      <c r="O236" s="5">
        <v>28</v>
      </c>
      <c r="P236" s="5" t="s">
        <v>26</v>
      </c>
      <c r="Q236" s="5"/>
      <c r="R236" s="17"/>
      <c r="S236" s="17"/>
      <c r="T236" s="18">
        <v>32.5444444444444</v>
      </c>
      <c r="U236" s="18">
        <v>911.244444444443</v>
      </c>
      <c r="V236" s="16"/>
      <c r="W236">
        <f t="shared" si="29"/>
        <v>40.6805555555555</v>
      </c>
      <c r="X236">
        <f t="shared" si="30"/>
        <v>1139.05555555555</v>
      </c>
      <c r="Y236">
        <f t="shared" si="31"/>
        <v>5.7702915681639</v>
      </c>
      <c r="Z236">
        <f t="shared" si="32"/>
        <v>161.568163908589</v>
      </c>
      <c r="AA236">
        <f t="shared" si="36"/>
        <v>0.0364497777777777</v>
      </c>
    </row>
    <row r="237" ht="54" spans="1:27">
      <c r="A237" s="10">
        <v>112</v>
      </c>
      <c r="B237" s="5" t="s">
        <v>428</v>
      </c>
      <c r="C237" s="5"/>
      <c r="D237" s="5">
        <f t="shared" si="38"/>
        <v>112</v>
      </c>
      <c r="E237" s="5" t="s">
        <v>26</v>
      </c>
      <c r="F237" s="6" t="s">
        <v>89</v>
      </c>
      <c r="G237" s="9" t="s">
        <v>37</v>
      </c>
      <c r="H237" s="9" t="s">
        <v>69</v>
      </c>
      <c r="I237" s="9" t="s">
        <v>64</v>
      </c>
      <c r="J237" s="9"/>
      <c r="K237" s="9" t="s">
        <v>31</v>
      </c>
      <c r="L237" s="9" t="s">
        <v>60</v>
      </c>
      <c r="M237" s="9" t="s">
        <v>70</v>
      </c>
      <c r="N237" s="13" t="s">
        <v>53</v>
      </c>
      <c r="O237" s="5">
        <v>112</v>
      </c>
      <c r="P237" s="5" t="s">
        <v>26</v>
      </c>
      <c r="Q237" s="5"/>
      <c r="R237" s="17"/>
      <c r="S237" s="17"/>
      <c r="T237" s="18">
        <v>33.6666666666667</v>
      </c>
      <c r="U237" s="18">
        <v>3770.66666666667</v>
      </c>
      <c r="V237" s="16"/>
      <c r="W237">
        <f t="shared" si="29"/>
        <v>42.0833333333334</v>
      </c>
      <c r="X237">
        <f t="shared" si="30"/>
        <v>4713.33333333334</v>
      </c>
      <c r="Y237">
        <f t="shared" si="31"/>
        <v>5.96926713947991</v>
      </c>
      <c r="Z237">
        <f t="shared" si="32"/>
        <v>668.55791962175</v>
      </c>
      <c r="AA237">
        <f t="shared" si="36"/>
        <v>0.150826666666667</v>
      </c>
    </row>
    <row r="238" ht="54" spans="1:27">
      <c r="A238" s="10">
        <v>228</v>
      </c>
      <c r="B238" s="5" t="s">
        <v>428</v>
      </c>
      <c r="C238" s="5"/>
      <c r="D238" s="5">
        <f t="shared" si="38"/>
        <v>228</v>
      </c>
      <c r="E238" s="5" t="s">
        <v>26</v>
      </c>
      <c r="F238" s="6" t="s">
        <v>90</v>
      </c>
      <c r="G238" s="9" t="s">
        <v>37</v>
      </c>
      <c r="H238" s="9" t="s">
        <v>72</v>
      </c>
      <c r="I238" s="9" t="s">
        <v>64</v>
      </c>
      <c r="J238" s="9"/>
      <c r="K238" s="9" t="s">
        <v>31</v>
      </c>
      <c r="L238" s="9" t="s">
        <v>60</v>
      </c>
      <c r="M238" s="9" t="s">
        <v>70</v>
      </c>
      <c r="N238" s="13" t="s">
        <v>53</v>
      </c>
      <c r="O238" s="5">
        <v>228</v>
      </c>
      <c r="P238" s="5" t="s">
        <v>26</v>
      </c>
      <c r="Q238" s="5"/>
      <c r="R238" s="17"/>
      <c r="S238" s="17"/>
      <c r="T238" s="18">
        <v>40.4</v>
      </c>
      <c r="U238" s="18">
        <v>9211.2</v>
      </c>
      <c r="V238" s="16"/>
      <c r="W238">
        <f t="shared" si="29"/>
        <v>50.5</v>
      </c>
      <c r="X238">
        <f t="shared" si="30"/>
        <v>11514</v>
      </c>
      <c r="Y238">
        <f t="shared" si="31"/>
        <v>7.16312056737589</v>
      </c>
      <c r="Z238">
        <f t="shared" si="32"/>
        <v>1633.1914893617</v>
      </c>
      <c r="AA238">
        <f t="shared" si="36"/>
        <v>0.368448</v>
      </c>
    </row>
    <row r="239" ht="69.6" spans="1:27">
      <c r="A239" s="10">
        <v>19</v>
      </c>
      <c r="B239" s="5" t="s">
        <v>428</v>
      </c>
      <c r="C239" s="5"/>
      <c r="D239" s="5">
        <f t="shared" si="38"/>
        <v>19</v>
      </c>
      <c r="E239" s="5" t="s">
        <v>26</v>
      </c>
      <c r="F239" s="6" t="s">
        <v>194</v>
      </c>
      <c r="G239" s="9" t="s">
        <v>102</v>
      </c>
      <c r="H239" s="9" t="s">
        <v>136</v>
      </c>
      <c r="I239" s="9" t="s">
        <v>137</v>
      </c>
      <c r="J239" s="9"/>
      <c r="K239" s="9" t="s">
        <v>31</v>
      </c>
      <c r="L239" s="9" t="s">
        <v>60</v>
      </c>
      <c r="M239" s="9" t="s">
        <v>250</v>
      </c>
      <c r="N239" s="13" t="s">
        <v>53</v>
      </c>
      <c r="O239" s="5">
        <v>19</v>
      </c>
      <c r="P239" s="5" t="s">
        <v>26</v>
      </c>
      <c r="Q239" s="5"/>
      <c r="R239" s="17"/>
      <c r="S239" s="17"/>
      <c r="T239" s="18">
        <v>28.0555555555556</v>
      </c>
      <c r="U239" s="18">
        <v>533.055555555556</v>
      </c>
      <c r="V239" s="16"/>
      <c r="W239">
        <f t="shared" si="29"/>
        <v>35.0694444444445</v>
      </c>
      <c r="X239">
        <f t="shared" si="30"/>
        <v>666.319444444445</v>
      </c>
      <c r="Y239">
        <f t="shared" si="31"/>
        <v>4.97438928289993</v>
      </c>
      <c r="Z239">
        <f t="shared" si="32"/>
        <v>94.5133963750987</v>
      </c>
      <c r="AA239">
        <f t="shared" si="36"/>
        <v>0.0213222222222222</v>
      </c>
    </row>
    <row r="240" ht="69.6" spans="1:27">
      <c r="A240" s="10">
        <v>11</v>
      </c>
      <c r="B240" s="5" t="s">
        <v>428</v>
      </c>
      <c r="C240" s="5"/>
      <c r="D240" s="5">
        <f t="shared" si="38"/>
        <v>11</v>
      </c>
      <c r="E240" s="5" t="s">
        <v>26</v>
      </c>
      <c r="F240" s="6" t="s">
        <v>195</v>
      </c>
      <c r="G240" s="9" t="s">
        <v>102</v>
      </c>
      <c r="H240" s="9" t="s">
        <v>196</v>
      </c>
      <c r="I240" s="9" t="s">
        <v>108</v>
      </c>
      <c r="J240" s="9"/>
      <c r="K240" s="9" t="s">
        <v>31</v>
      </c>
      <c r="L240" s="9" t="s">
        <v>60</v>
      </c>
      <c r="M240" s="9" t="s">
        <v>250</v>
      </c>
      <c r="N240" s="13" t="s">
        <v>53</v>
      </c>
      <c r="O240" s="5">
        <v>11</v>
      </c>
      <c r="P240" s="5" t="s">
        <v>26</v>
      </c>
      <c r="Q240" s="5"/>
      <c r="R240" s="17"/>
      <c r="S240" s="17"/>
      <c r="T240" s="18">
        <v>44.8888888888889</v>
      </c>
      <c r="U240" s="18">
        <v>493.777777777778</v>
      </c>
      <c r="V240" s="16"/>
      <c r="W240">
        <f t="shared" si="29"/>
        <v>56.1111111111111</v>
      </c>
      <c r="X240">
        <f t="shared" si="30"/>
        <v>617.222222222222</v>
      </c>
      <c r="Y240">
        <f t="shared" si="31"/>
        <v>7.95902285263988</v>
      </c>
      <c r="Z240">
        <f t="shared" si="32"/>
        <v>87.5492513790387</v>
      </c>
      <c r="AA240">
        <f t="shared" si="36"/>
        <v>0.0197511111111111</v>
      </c>
    </row>
    <row r="241" ht="54" spans="1:27">
      <c r="A241" s="10">
        <v>6</v>
      </c>
      <c r="B241" s="5" t="s">
        <v>428</v>
      </c>
      <c r="C241" s="5"/>
      <c r="D241" s="5">
        <f t="shared" si="38"/>
        <v>6</v>
      </c>
      <c r="E241" s="5" t="s">
        <v>26</v>
      </c>
      <c r="F241" s="6" t="s">
        <v>197</v>
      </c>
      <c r="G241" s="9" t="s">
        <v>102</v>
      </c>
      <c r="H241" s="9" t="s">
        <v>155</v>
      </c>
      <c r="I241" s="9" t="s">
        <v>111</v>
      </c>
      <c r="J241" s="9"/>
      <c r="K241" s="9" t="s">
        <v>31</v>
      </c>
      <c r="L241" s="9" t="s">
        <v>60</v>
      </c>
      <c r="M241" s="9" t="s">
        <v>118</v>
      </c>
      <c r="N241" s="13" t="s">
        <v>53</v>
      </c>
      <c r="O241" s="5">
        <v>6</v>
      </c>
      <c r="P241" s="5" t="s">
        <v>26</v>
      </c>
      <c r="Q241" s="5"/>
      <c r="R241" s="17"/>
      <c r="S241" s="17"/>
      <c r="T241" s="18">
        <v>43.7666666666667</v>
      </c>
      <c r="U241" s="18">
        <v>262.6</v>
      </c>
      <c r="V241" s="16"/>
      <c r="W241">
        <f t="shared" si="29"/>
        <v>54.7083333333334</v>
      </c>
      <c r="X241">
        <f t="shared" si="30"/>
        <v>328.25</v>
      </c>
      <c r="Y241">
        <f t="shared" si="31"/>
        <v>7.76004728132388</v>
      </c>
      <c r="Z241">
        <f t="shared" si="32"/>
        <v>46.5602836879433</v>
      </c>
      <c r="AA241">
        <f t="shared" si="36"/>
        <v>0.010504</v>
      </c>
    </row>
    <row r="242" ht="54" spans="1:27">
      <c r="A242" s="10">
        <v>53</v>
      </c>
      <c r="B242" s="5" t="s">
        <v>428</v>
      </c>
      <c r="C242" s="5"/>
      <c r="D242" s="5">
        <f t="shared" si="38"/>
        <v>53</v>
      </c>
      <c r="E242" s="5" t="s">
        <v>26</v>
      </c>
      <c r="F242" s="6" t="s">
        <v>109</v>
      </c>
      <c r="G242" s="9" t="s">
        <v>102</v>
      </c>
      <c r="H242" s="9" t="s">
        <v>110</v>
      </c>
      <c r="I242" s="9" t="s">
        <v>111</v>
      </c>
      <c r="J242" s="9"/>
      <c r="K242" s="9" t="s">
        <v>31</v>
      </c>
      <c r="L242" s="9" t="s">
        <v>60</v>
      </c>
      <c r="M242" s="9" t="s">
        <v>118</v>
      </c>
      <c r="N242" s="13" t="s">
        <v>53</v>
      </c>
      <c r="O242" s="5">
        <v>53</v>
      </c>
      <c r="P242" s="5" t="s">
        <v>26</v>
      </c>
      <c r="Q242" s="5"/>
      <c r="R242" s="17"/>
      <c r="S242" s="17"/>
      <c r="T242" s="18">
        <v>67.3333333333333</v>
      </c>
      <c r="U242" s="18">
        <v>3568.66666666666</v>
      </c>
      <c r="V242" s="16"/>
      <c r="W242">
        <f t="shared" si="29"/>
        <v>84.1666666666666</v>
      </c>
      <c r="X242">
        <f t="shared" si="30"/>
        <v>4460.83333333333</v>
      </c>
      <c r="Y242">
        <f t="shared" si="31"/>
        <v>11.9385342789598</v>
      </c>
      <c r="Z242">
        <f t="shared" si="32"/>
        <v>632.74231678487</v>
      </c>
      <c r="AA242">
        <f t="shared" si="36"/>
        <v>0.142746666666666</v>
      </c>
    </row>
    <row r="243" ht="54" spans="1:27">
      <c r="A243" s="10">
        <v>13</v>
      </c>
      <c r="B243" s="5" t="s">
        <v>428</v>
      </c>
      <c r="C243" s="5"/>
      <c r="D243" s="5">
        <f t="shared" si="38"/>
        <v>13</v>
      </c>
      <c r="E243" s="5" t="s">
        <v>26</v>
      </c>
      <c r="F243" s="6" t="s">
        <v>198</v>
      </c>
      <c r="G243" s="9" t="s">
        <v>102</v>
      </c>
      <c r="H243" s="9" t="s">
        <v>140</v>
      </c>
      <c r="I243" s="9" t="s">
        <v>111</v>
      </c>
      <c r="J243" s="9"/>
      <c r="K243" s="9" t="s">
        <v>31</v>
      </c>
      <c r="L243" s="9" t="s">
        <v>60</v>
      </c>
      <c r="M243" s="9" t="s">
        <v>118</v>
      </c>
      <c r="N243" s="13" t="s">
        <v>53</v>
      </c>
      <c r="O243" s="5">
        <v>13</v>
      </c>
      <c r="P243" s="5" t="s">
        <v>26</v>
      </c>
      <c r="Q243" s="5"/>
      <c r="R243" s="17"/>
      <c r="S243" s="17"/>
      <c r="T243" s="18">
        <v>58.3555555555556</v>
      </c>
      <c r="U243" s="18">
        <v>758.622222222223</v>
      </c>
      <c r="V243" s="16"/>
      <c r="W243">
        <f t="shared" si="29"/>
        <v>72.9444444444445</v>
      </c>
      <c r="X243">
        <f t="shared" si="30"/>
        <v>948.277777777779</v>
      </c>
      <c r="Y243">
        <f t="shared" si="31"/>
        <v>10.3467297084318</v>
      </c>
      <c r="Z243">
        <f t="shared" si="32"/>
        <v>134.507486209614</v>
      </c>
      <c r="AA243">
        <f t="shared" si="36"/>
        <v>0.0303448888888889</v>
      </c>
    </row>
    <row r="244" ht="69.6" spans="1:27">
      <c r="A244" s="10">
        <v>3</v>
      </c>
      <c r="B244" s="5" t="s">
        <v>428</v>
      </c>
      <c r="C244" s="5"/>
      <c r="D244" s="5">
        <f t="shared" si="38"/>
        <v>3</v>
      </c>
      <c r="E244" s="5" t="s">
        <v>26</v>
      </c>
      <c r="F244" s="6" t="s">
        <v>199</v>
      </c>
      <c r="G244" s="9" t="s">
        <v>102</v>
      </c>
      <c r="H244" s="9" t="s">
        <v>200</v>
      </c>
      <c r="I244" s="9" t="s">
        <v>201</v>
      </c>
      <c r="J244" s="9"/>
      <c r="K244" s="9" t="s">
        <v>31</v>
      </c>
      <c r="L244" s="9" t="s">
        <v>60</v>
      </c>
      <c r="M244" s="9" t="s">
        <v>250</v>
      </c>
      <c r="N244" s="13" t="s">
        <v>53</v>
      </c>
      <c r="O244" s="5">
        <v>3</v>
      </c>
      <c r="P244" s="5" t="s">
        <v>26</v>
      </c>
      <c r="Q244" s="5"/>
      <c r="R244" s="17"/>
      <c r="S244" s="17"/>
      <c r="T244" s="18">
        <v>132.422222222222</v>
      </c>
      <c r="U244" s="18">
        <v>397.266666666666</v>
      </c>
      <c r="V244" s="16"/>
      <c r="W244">
        <f t="shared" si="29"/>
        <v>165.527777777777</v>
      </c>
      <c r="X244">
        <f t="shared" si="30"/>
        <v>496.583333333332</v>
      </c>
      <c r="Y244">
        <f t="shared" si="31"/>
        <v>23.4791174152876</v>
      </c>
      <c r="Z244">
        <f t="shared" si="32"/>
        <v>70.4373522458628</v>
      </c>
      <c r="AA244">
        <f t="shared" si="36"/>
        <v>0.0158906666666666</v>
      </c>
    </row>
    <row r="245" ht="88.8" spans="1:27">
      <c r="A245" s="10">
        <v>11</v>
      </c>
      <c r="B245" s="5" t="s">
        <v>428</v>
      </c>
      <c r="C245" s="5"/>
      <c r="D245" s="5">
        <f t="shared" si="38"/>
        <v>11</v>
      </c>
      <c r="E245" s="5" t="s">
        <v>26</v>
      </c>
      <c r="F245" s="6" t="s">
        <v>124</v>
      </c>
      <c r="G245" s="9" t="s">
        <v>122</v>
      </c>
      <c r="H245" s="9" t="s">
        <v>113</v>
      </c>
      <c r="I245" s="9" t="s">
        <v>114</v>
      </c>
      <c r="J245" s="9"/>
      <c r="K245" s="9" t="s">
        <v>31</v>
      </c>
      <c r="L245" s="9" t="s">
        <v>60</v>
      </c>
      <c r="M245" s="9" t="s">
        <v>435</v>
      </c>
      <c r="N245" s="13" t="s">
        <v>53</v>
      </c>
      <c r="O245" s="5">
        <v>11</v>
      </c>
      <c r="P245" s="5" t="s">
        <v>26</v>
      </c>
      <c r="Q245" s="5"/>
      <c r="R245" s="17"/>
      <c r="S245" s="17"/>
      <c r="T245" s="18">
        <v>13.4666666666667</v>
      </c>
      <c r="U245" s="18">
        <v>148.133333333334</v>
      </c>
      <c r="V245" s="16"/>
      <c r="W245">
        <f t="shared" si="29"/>
        <v>16.8333333333334</v>
      </c>
      <c r="X245">
        <f t="shared" si="30"/>
        <v>185.166666666667</v>
      </c>
      <c r="Y245">
        <f t="shared" si="31"/>
        <v>2.38770685579197</v>
      </c>
      <c r="Z245">
        <f t="shared" si="32"/>
        <v>26.2647754137117</v>
      </c>
      <c r="AA245">
        <f t="shared" si="36"/>
        <v>0.00592533333333336</v>
      </c>
    </row>
    <row r="246" ht="54" spans="1:27">
      <c r="A246" s="10">
        <v>28</v>
      </c>
      <c r="B246" s="5" t="s">
        <v>428</v>
      </c>
      <c r="C246" s="5"/>
      <c r="D246" s="5">
        <f t="shared" si="38"/>
        <v>28</v>
      </c>
      <c r="E246" s="5" t="s">
        <v>26</v>
      </c>
      <c r="F246" s="6" t="s">
        <v>125</v>
      </c>
      <c r="G246" s="9" t="s">
        <v>122</v>
      </c>
      <c r="H246" s="9" t="s">
        <v>126</v>
      </c>
      <c r="I246" s="9" t="s">
        <v>114</v>
      </c>
      <c r="J246" s="9"/>
      <c r="K246" s="9" t="s">
        <v>31</v>
      </c>
      <c r="L246" s="9" t="s">
        <v>60</v>
      </c>
      <c r="M246" s="9" t="s">
        <v>118</v>
      </c>
      <c r="N246" s="13" t="s">
        <v>53</v>
      </c>
      <c r="O246" s="5">
        <v>28</v>
      </c>
      <c r="P246" s="5" t="s">
        <v>26</v>
      </c>
      <c r="Q246" s="19"/>
      <c r="R246" s="17"/>
      <c r="S246" s="17"/>
      <c r="T246" s="18">
        <v>17.9555555555556</v>
      </c>
      <c r="U246" s="18">
        <v>502.755555555557</v>
      </c>
      <c r="V246" s="16"/>
      <c r="W246">
        <f t="shared" si="29"/>
        <v>22.4444444444445</v>
      </c>
      <c r="X246">
        <f t="shared" si="30"/>
        <v>628.444444444446</v>
      </c>
      <c r="Y246">
        <f t="shared" si="31"/>
        <v>3.18360914105596</v>
      </c>
      <c r="Z246">
        <f t="shared" si="32"/>
        <v>89.1410559495668</v>
      </c>
      <c r="AA246">
        <f t="shared" si="36"/>
        <v>0.0201102222222223</v>
      </c>
    </row>
    <row r="247" ht="54" spans="1:27">
      <c r="A247" s="10">
        <v>49</v>
      </c>
      <c r="B247" s="5" t="s">
        <v>428</v>
      </c>
      <c r="C247" s="5"/>
      <c r="D247" s="5">
        <f t="shared" si="38"/>
        <v>49</v>
      </c>
      <c r="E247" s="5" t="s">
        <v>26</v>
      </c>
      <c r="F247" s="6" t="s">
        <v>121</v>
      </c>
      <c r="G247" s="9" t="s">
        <v>122</v>
      </c>
      <c r="H247" s="9" t="s">
        <v>123</v>
      </c>
      <c r="I247" s="9" t="s">
        <v>114</v>
      </c>
      <c r="J247" s="9"/>
      <c r="K247" s="9" t="s">
        <v>31</v>
      </c>
      <c r="L247" s="9" t="s">
        <v>60</v>
      </c>
      <c r="M247" s="9" t="s">
        <v>118</v>
      </c>
      <c r="N247" s="13" t="s">
        <v>53</v>
      </c>
      <c r="O247" s="5">
        <v>49</v>
      </c>
      <c r="P247" s="5" t="s">
        <v>26</v>
      </c>
      <c r="Q247" s="19"/>
      <c r="R247" s="17"/>
      <c r="S247" s="17"/>
      <c r="T247" s="18">
        <v>16.8333333333333</v>
      </c>
      <c r="U247" s="18">
        <v>824.833333333332</v>
      </c>
      <c r="V247" s="16"/>
      <c r="W247">
        <f t="shared" si="29"/>
        <v>21.0416666666666</v>
      </c>
      <c r="X247">
        <f t="shared" si="30"/>
        <v>1031.04166666666</v>
      </c>
      <c r="Y247">
        <f t="shared" si="31"/>
        <v>2.98463356973995</v>
      </c>
      <c r="Z247">
        <f t="shared" si="32"/>
        <v>146.247044917257</v>
      </c>
      <c r="AA247">
        <f t="shared" si="36"/>
        <v>0.0329933333333333</v>
      </c>
    </row>
    <row r="248" ht="69.6" spans="1:27">
      <c r="A248" s="10">
        <v>14</v>
      </c>
      <c r="B248" s="5" t="s">
        <v>428</v>
      </c>
      <c r="C248" s="5"/>
      <c r="D248" s="5">
        <f t="shared" si="38"/>
        <v>14</v>
      </c>
      <c r="E248" s="5" t="s">
        <v>26</v>
      </c>
      <c r="F248" s="6" t="s">
        <v>127</v>
      </c>
      <c r="G248" s="9" t="s">
        <v>122</v>
      </c>
      <c r="H248" s="9" t="s">
        <v>103</v>
      </c>
      <c r="I248" s="9" t="s">
        <v>104</v>
      </c>
      <c r="J248" s="9"/>
      <c r="K248" s="9" t="s">
        <v>31</v>
      </c>
      <c r="L248" s="9" t="s">
        <v>60</v>
      </c>
      <c r="M248" s="9" t="s">
        <v>250</v>
      </c>
      <c r="N248" s="13" t="s">
        <v>53</v>
      </c>
      <c r="O248" s="5">
        <v>14</v>
      </c>
      <c r="P248" s="5" t="s">
        <v>26</v>
      </c>
      <c r="Q248" s="19"/>
      <c r="R248" s="17"/>
      <c r="S248" s="17"/>
      <c r="T248" s="18">
        <v>25.8111111111111</v>
      </c>
      <c r="U248" s="18">
        <v>361.355555555555</v>
      </c>
      <c r="V248" s="16"/>
      <c r="W248">
        <f t="shared" si="29"/>
        <v>32.2638888888889</v>
      </c>
      <c r="X248">
        <f t="shared" si="30"/>
        <v>451.694444444444</v>
      </c>
      <c r="Y248">
        <f t="shared" si="31"/>
        <v>4.57643814026792</v>
      </c>
      <c r="Z248">
        <f t="shared" si="32"/>
        <v>64.0701339637509</v>
      </c>
      <c r="AA248">
        <f t="shared" si="36"/>
        <v>0.0144542222222222</v>
      </c>
    </row>
    <row r="249" ht="69.6" spans="1:27">
      <c r="A249" s="10">
        <v>29</v>
      </c>
      <c r="B249" s="5" t="s">
        <v>428</v>
      </c>
      <c r="C249" s="5"/>
      <c r="D249" s="5">
        <f t="shared" si="38"/>
        <v>29</v>
      </c>
      <c r="E249" s="5" t="s">
        <v>26</v>
      </c>
      <c r="F249" s="6" t="s">
        <v>203</v>
      </c>
      <c r="G249" s="9" t="s">
        <v>122</v>
      </c>
      <c r="H249" s="9" t="s">
        <v>204</v>
      </c>
      <c r="I249" s="9" t="s">
        <v>104</v>
      </c>
      <c r="J249" s="9"/>
      <c r="K249" s="9" t="s">
        <v>31</v>
      </c>
      <c r="L249" s="9" t="s">
        <v>60</v>
      </c>
      <c r="M249" s="9" t="s">
        <v>250</v>
      </c>
      <c r="N249" s="13" t="s">
        <v>53</v>
      </c>
      <c r="O249" s="5">
        <v>29</v>
      </c>
      <c r="P249" s="5" t="s">
        <v>26</v>
      </c>
      <c r="Q249" s="19"/>
      <c r="R249" s="17"/>
      <c r="S249" s="17"/>
      <c r="T249" s="18">
        <v>23.5666666666667</v>
      </c>
      <c r="U249" s="18">
        <v>683.433333333334</v>
      </c>
      <c r="V249" s="16"/>
      <c r="W249">
        <f t="shared" si="29"/>
        <v>29.4583333333334</v>
      </c>
      <c r="X249">
        <f t="shared" si="30"/>
        <v>854.291666666668</v>
      </c>
      <c r="Y249">
        <f t="shared" si="31"/>
        <v>4.17848699763594</v>
      </c>
      <c r="Z249">
        <f t="shared" si="32"/>
        <v>121.176122931442</v>
      </c>
      <c r="AA249">
        <f t="shared" si="36"/>
        <v>0.0273373333333334</v>
      </c>
    </row>
    <row r="250" ht="69.6" spans="1:27">
      <c r="A250" s="10">
        <v>12</v>
      </c>
      <c r="B250" s="5" t="s">
        <v>428</v>
      </c>
      <c r="C250" s="5"/>
      <c r="D250" s="5">
        <f t="shared" si="38"/>
        <v>12</v>
      </c>
      <c r="E250" s="5" t="s">
        <v>26</v>
      </c>
      <c r="F250" s="6" t="s">
        <v>135</v>
      </c>
      <c r="G250" s="9" t="s">
        <v>122</v>
      </c>
      <c r="H250" s="9" t="s">
        <v>136</v>
      </c>
      <c r="I250" s="9" t="s">
        <v>137</v>
      </c>
      <c r="J250" s="9"/>
      <c r="K250" s="9" t="s">
        <v>31</v>
      </c>
      <c r="L250" s="9" t="s">
        <v>60</v>
      </c>
      <c r="M250" s="9" t="s">
        <v>250</v>
      </c>
      <c r="N250" s="13" t="s">
        <v>53</v>
      </c>
      <c r="O250" s="5">
        <v>12</v>
      </c>
      <c r="P250" s="5" t="s">
        <v>26</v>
      </c>
      <c r="Q250" s="19"/>
      <c r="R250" s="17"/>
      <c r="S250" s="17"/>
      <c r="T250" s="18">
        <v>33.6666666666667</v>
      </c>
      <c r="U250" s="18">
        <v>404</v>
      </c>
      <c r="V250" s="16"/>
      <c r="W250">
        <f t="shared" si="29"/>
        <v>42.0833333333334</v>
      </c>
      <c r="X250">
        <f t="shared" si="30"/>
        <v>505</v>
      </c>
      <c r="Y250">
        <f t="shared" si="31"/>
        <v>5.96926713947991</v>
      </c>
      <c r="Z250">
        <f t="shared" si="32"/>
        <v>71.6312056737589</v>
      </c>
      <c r="AA250">
        <f t="shared" ref="AA250:AA271" si="39">U250/25000</f>
        <v>0.01616</v>
      </c>
    </row>
    <row r="251" ht="88.8" spans="1:27">
      <c r="A251" s="10">
        <v>38</v>
      </c>
      <c r="B251" s="5" t="s">
        <v>428</v>
      </c>
      <c r="C251" s="5"/>
      <c r="D251" s="5">
        <f t="shared" si="38"/>
        <v>38</v>
      </c>
      <c r="E251" s="5" t="s">
        <v>26</v>
      </c>
      <c r="F251" s="6" t="s">
        <v>128</v>
      </c>
      <c r="G251" s="9" t="s">
        <v>122</v>
      </c>
      <c r="H251" s="9" t="s">
        <v>107</v>
      </c>
      <c r="I251" s="9" t="s">
        <v>108</v>
      </c>
      <c r="J251" s="9"/>
      <c r="K251" s="9" t="s">
        <v>31</v>
      </c>
      <c r="L251" s="9" t="s">
        <v>60</v>
      </c>
      <c r="M251" s="9" t="s">
        <v>436</v>
      </c>
      <c r="N251" s="13" t="s">
        <v>53</v>
      </c>
      <c r="O251" s="5">
        <v>38</v>
      </c>
      <c r="P251" s="5" t="s">
        <v>26</v>
      </c>
      <c r="Q251" s="19"/>
      <c r="R251" s="17"/>
      <c r="S251" s="17"/>
      <c r="T251" s="18">
        <v>25.8111111111111</v>
      </c>
      <c r="U251" s="18">
        <v>980.822222222222</v>
      </c>
      <c r="V251" s="16"/>
      <c r="W251">
        <f t="shared" si="29"/>
        <v>32.2638888888889</v>
      </c>
      <c r="X251">
        <f t="shared" si="30"/>
        <v>1226.02777777778</v>
      </c>
      <c r="Y251">
        <f t="shared" si="31"/>
        <v>4.57643814026792</v>
      </c>
      <c r="Z251">
        <f t="shared" si="32"/>
        <v>173.904649330181</v>
      </c>
      <c r="AA251">
        <f t="shared" si="39"/>
        <v>0.0392328888888889</v>
      </c>
    </row>
    <row r="252" ht="69.6" spans="1:27">
      <c r="A252" s="10">
        <v>17</v>
      </c>
      <c r="B252" s="5" t="s">
        <v>428</v>
      </c>
      <c r="C252" s="5"/>
      <c r="D252" s="5">
        <f t="shared" si="38"/>
        <v>17</v>
      </c>
      <c r="E252" s="5" t="s">
        <v>26</v>
      </c>
      <c r="F252" s="6" t="s">
        <v>219</v>
      </c>
      <c r="G252" s="9" t="s">
        <v>39</v>
      </c>
      <c r="H252" s="9" t="s">
        <v>72</v>
      </c>
      <c r="I252" s="9" t="s">
        <v>64</v>
      </c>
      <c r="J252" s="9"/>
      <c r="K252" s="9" t="s">
        <v>31</v>
      </c>
      <c r="L252" s="9" t="s">
        <v>60</v>
      </c>
      <c r="M252" s="9" t="s">
        <v>437</v>
      </c>
      <c r="N252" s="13" t="s">
        <v>53</v>
      </c>
      <c r="O252" s="5">
        <v>17</v>
      </c>
      <c r="P252" s="5" t="s">
        <v>26</v>
      </c>
      <c r="Q252" s="19"/>
      <c r="R252" s="17"/>
      <c r="S252" s="17"/>
      <c r="T252" s="18">
        <v>35.9111111111111</v>
      </c>
      <c r="U252" s="18">
        <v>610.488888888889</v>
      </c>
      <c r="V252" s="16"/>
      <c r="W252">
        <f t="shared" si="29"/>
        <v>44.8888888888889</v>
      </c>
      <c r="X252">
        <f t="shared" si="30"/>
        <v>763.111111111111</v>
      </c>
      <c r="Y252">
        <f t="shared" si="31"/>
        <v>6.3672182821119</v>
      </c>
      <c r="Z252">
        <f t="shared" si="32"/>
        <v>108.242710795902</v>
      </c>
      <c r="AA252">
        <f t="shared" si="39"/>
        <v>0.0244195555555556</v>
      </c>
    </row>
    <row r="253" ht="54" spans="1:27">
      <c r="A253" s="10">
        <v>3</v>
      </c>
      <c r="B253" s="5" t="s">
        <v>428</v>
      </c>
      <c r="C253" s="5"/>
      <c r="D253" s="5">
        <f t="shared" si="38"/>
        <v>3</v>
      </c>
      <c r="E253" s="5" t="s">
        <v>26</v>
      </c>
      <c r="F253" s="6" t="s">
        <v>146</v>
      </c>
      <c r="G253" s="9" t="s">
        <v>39</v>
      </c>
      <c r="H253" s="9" t="s">
        <v>59</v>
      </c>
      <c r="I253" s="9" t="s">
        <v>55</v>
      </c>
      <c r="J253" s="9"/>
      <c r="K253" s="9" t="s">
        <v>31</v>
      </c>
      <c r="L253" s="9" t="s">
        <v>60</v>
      </c>
      <c r="M253" s="9" t="s">
        <v>142</v>
      </c>
      <c r="N253" s="13" t="s">
        <v>53</v>
      </c>
      <c r="O253" s="5">
        <v>3</v>
      </c>
      <c r="P253" s="5" t="s">
        <v>26</v>
      </c>
      <c r="Q253" s="19"/>
      <c r="R253" s="17"/>
      <c r="S253" s="17"/>
      <c r="T253" s="18">
        <v>172.822222222222</v>
      </c>
      <c r="U253" s="18">
        <v>518.466666666666</v>
      </c>
      <c r="V253" s="16"/>
      <c r="W253">
        <f t="shared" si="29"/>
        <v>216.027777777777</v>
      </c>
      <c r="X253">
        <f t="shared" si="30"/>
        <v>648.083333333332</v>
      </c>
      <c r="Y253">
        <f t="shared" si="31"/>
        <v>30.6422379826635</v>
      </c>
      <c r="Z253">
        <f t="shared" si="32"/>
        <v>91.9267139479904</v>
      </c>
      <c r="AA253">
        <f t="shared" si="39"/>
        <v>0.0207386666666666</v>
      </c>
    </row>
    <row r="254" ht="88.8" spans="1:27">
      <c r="A254" s="10">
        <v>14</v>
      </c>
      <c r="B254" s="5" t="s">
        <v>428</v>
      </c>
      <c r="C254" s="5"/>
      <c r="D254" s="5">
        <f t="shared" ref="D254:D271" si="40">A254</f>
        <v>14</v>
      </c>
      <c r="E254" s="5" t="s">
        <v>26</v>
      </c>
      <c r="F254" s="6" t="s">
        <v>165</v>
      </c>
      <c r="G254" s="9" t="s">
        <v>166</v>
      </c>
      <c r="H254" s="9" t="s">
        <v>77</v>
      </c>
      <c r="I254" s="9"/>
      <c r="J254" s="9"/>
      <c r="K254" s="9" t="s">
        <v>167</v>
      </c>
      <c r="L254" s="9" t="s">
        <v>95</v>
      </c>
      <c r="M254" s="9" t="s">
        <v>438</v>
      </c>
      <c r="N254" s="13" t="s">
        <v>53</v>
      </c>
      <c r="O254" s="5">
        <v>14</v>
      </c>
      <c r="P254" s="5" t="s">
        <v>26</v>
      </c>
      <c r="Q254" s="19"/>
      <c r="R254" s="17"/>
      <c r="S254" s="17"/>
      <c r="T254" s="18">
        <v>51.5</v>
      </c>
      <c r="U254" s="18">
        <v>721</v>
      </c>
      <c r="V254" s="16"/>
      <c r="W254">
        <f t="shared" si="29"/>
        <v>64.375</v>
      </c>
      <c r="X254">
        <f t="shared" si="30"/>
        <v>901.25</v>
      </c>
      <c r="Y254">
        <f t="shared" si="31"/>
        <v>9.13120567375887</v>
      </c>
      <c r="Z254">
        <f t="shared" si="32"/>
        <v>127.836879432624</v>
      </c>
      <c r="AA254">
        <f t="shared" si="39"/>
        <v>0.02884</v>
      </c>
    </row>
    <row r="255" ht="69.6" spans="1:27">
      <c r="A255" s="10">
        <v>44</v>
      </c>
      <c r="B255" s="5" t="s">
        <v>428</v>
      </c>
      <c r="C255" s="5"/>
      <c r="D255" s="5">
        <f t="shared" si="40"/>
        <v>44</v>
      </c>
      <c r="E255" s="5" t="s">
        <v>26</v>
      </c>
      <c r="F255" s="6" t="s">
        <v>152</v>
      </c>
      <c r="G255" s="9" t="s">
        <v>150</v>
      </c>
      <c r="H255" s="9" t="s">
        <v>136</v>
      </c>
      <c r="I255" s="9" t="s">
        <v>137</v>
      </c>
      <c r="J255" s="9"/>
      <c r="K255" s="9" t="s">
        <v>31</v>
      </c>
      <c r="L255" s="9" t="s">
        <v>60</v>
      </c>
      <c r="M255" s="9" t="s">
        <v>439</v>
      </c>
      <c r="N255" s="13" t="s">
        <v>53</v>
      </c>
      <c r="O255" s="5">
        <v>44</v>
      </c>
      <c r="P255" s="5" t="s">
        <v>26</v>
      </c>
      <c r="Q255" s="19"/>
      <c r="R255" s="17"/>
      <c r="S255" s="17"/>
      <c r="T255" s="18">
        <v>53.8666666666667</v>
      </c>
      <c r="U255" s="18">
        <v>2370.13333333334</v>
      </c>
      <c r="V255" s="16"/>
      <c r="W255">
        <f t="shared" si="29"/>
        <v>67.3333333333334</v>
      </c>
      <c r="X255">
        <f t="shared" si="30"/>
        <v>2962.66666666667</v>
      </c>
      <c r="Y255">
        <f t="shared" si="31"/>
        <v>9.55082742316785</v>
      </c>
      <c r="Z255">
        <f t="shared" si="32"/>
        <v>420.236406619386</v>
      </c>
      <c r="AA255">
        <f t="shared" si="39"/>
        <v>0.0948053333333336</v>
      </c>
    </row>
    <row r="256" ht="69.6" spans="1:27">
      <c r="A256" s="10">
        <v>11</v>
      </c>
      <c r="B256" s="5" t="s">
        <v>428</v>
      </c>
      <c r="C256" s="5"/>
      <c r="D256" s="5">
        <f t="shared" si="40"/>
        <v>11</v>
      </c>
      <c r="E256" s="5" t="s">
        <v>26</v>
      </c>
      <c r="F256" s="6" t="s">
        <v>153</v>
      </c>
      <c r="G256" s="9" t="s">
        <v>150</v>
      </c>
      <c r="H256" s="9" t="s">
        <v>107</v>
      </c>
      <c r="I256" s="9" t="s">
        <v>108</v>
      </c>
      <c r="J256" s="9"/>
      <c r="K256" s="9" t="s">
        <v>31</v>
      </c>
      <c r="L256" s="9" t="s">
        <v>60</v>
      </c>
      <c r="M256" s="9" t="s">
        <v>439</v>
      </c>
      <c r="N256" s="13" t="s">
        <v>53</v>
      </c>
      <c r="O256" s="5">
        <v>11</v>
      </c>
      <c r="P256" s="5" t="s">
        <v>26</v>
      </c>
      <c r="Q256" s="19"/>
      <c r="R256" s="17"/>
      <c r="S256" s="17"/>
      <c r="T256" s="18">
        <v>54.9888888888889</v>
      </c>
      <c r="U256" s="18">
        <v>604.877777777778</v>
      </c>
      <c r="V256" s="16"/>
      <c r="W256">
        <f t="shared" si="29"/>
        <v>68.7361111111111</v>
      </c>
      <c r="X256">
        <f t="shared" si="30"/>
        <v>756.097222222222</v>
      </c>
      <c r="Y256">
        <f t="shared" si="31"/>
        <v>9.74980299448385</v>
      </c>
      <c r="Z256">
        <f t="shared" si="32"/>
        <v>107.247832939322</v>
      </c>
      <c r="AA256">
        <f t="shared" si="39"/>
        <v>0.0241951111111111</v>
      </c>
    </row>
    <row r="257" ht="54" spans="1:27">
      <c r="A257" s="10">
        <v>24</v>
      </c>
      <c r="B257" s="5" t="s">
        <v>428</v>
      </c>
      <c r="C257" s="5"/>
      <c r="D257" s="5">
        <f t="shared" si="40"/>
        <v>24</v>
      </c>
      <c r="E257" s="5" t="s">
        <v>26</v>
      </c>
      <c r="F257" s="6" t="s">
        <v>154</v>
      </c>
      <c r="G257" s="9" t="s">
        <v>150</v>
      </c>
      <c r="H257" s="9" t="s">
        <v>155</v>
      </c>
      <c r="I257" s="9" t="s">
        <v>111</v>
      </c>
      <c r="J257" s="9"/>
      <c r="K257" s="9" t="s">
        <v>31</v>
      </c>
      <c r="L257" s="9" t="s">
        <v>60</v>
      </c>
      <c r="M257" s="9" t="s">
        <v>342</v>
      </c>
      <c r="N257" s="13" t="s">
        <v>53</v>
      </c>
      <c r="O257" s="5">
        <v>24</v>
      </c>
      <c r="P257" s="5" t="s">
        <v>26</v>
      </c>
      <c r="Q257" s="19"/>
      <c r="R257" s="17"/>
      <c r="S257" s="17"/>
      <c r="T257" s="18">
        <v>107.733333333333</v>
      </c>
      <c r="U257" s="18">
        <v>2585.59999999999</v>
      </c>
      <c r="V257" s="16"/>
      <c r="W257">
        <f t="shared" si="29"/>
        <v>134.666666666666</v>
      </c>
      <c r="X257">
        <f t="shared" si="30"/>
        <v>3231.99999999999</v>
      </c>
      <c r="Y257">
        <f t="shared" si="31"/>
        <v>19.1016548463356</v>
      </c>
      <c r="Z257">
        <f t="shared" si="32"/>
        <v>458.439716312055</v>
      </c>
      <c r="AA257">
        <f t="shared" si="39"/>
        <v>0.103424</v>
      </c>
    </row>
    <row r="258" ht="54" spans="1:27">
      <c r="A258" s="10">
        <v>11</v>
      </c>
      <c r="B258" s="5" t="s">
        <v>428</v>
      </c>
      <c r="C258" s="5"/>
      <c r="D258" s="5">
        <f t="shared" si="40"/>
        <v>11</v>
      </c>
      <c r="E258" s="5" t="s">
        <v>26</v>
      </c>
      <c r="F258" s="6" t="s">
        <v>156</v>
      </c>
      <c r="G258" s="9" t="s">
        <v>150</v>
      </c>
      <c r="H258" s="9" t="s">
        <v>110</v>
      </c>
      <c r="I258" s="9" t="s">
        <v>111</v>
      </c>
      <c r="J258" s="9"/>
      <c r="K258" s="9" t="s">
        <v>31</v>
      </c>
      <c r="L258" s="9" t="s">
        <v>60</v>
      </c>
      <c r="M258" s="9" t="s">
        <v>342</v>
      </c>
      <c r="N258" s="13" t="s">
        <v>53</v>
      </c>
      <c r="O258" s="5">
        <v>11</v>
      </c>
      <c r="P258" s="5" t="s">
        <v>26</v>
      </c>
      <c r="Q258" s="19"/>
      <c r="R258" s="17"/>
      <c r="S258" s="17"/>
      <c r="T258" s="18">
        <v>162.722222222222</v>
      </c>
      <c r="U258" s="18">
        <v>1789.94444444444</v>
      </c>
      <c r="V258" s="16"/>
      <c r="W258">
        <f t="shared" si="29"/>
        <v>203.402777777777</v>
      </c>
      <c r="X258">
        <f t="shared" si="30"/>
        <v>2237.43055555555</v>
      </c>
      <c r="Y258">
        <f t="shared" si="31"/>
        <v>28.8514578408195</v>
      </c>
      <c r="Z258">
        <f t="shared" si="32"/>
        <v>317.366036249015</v>
      </c>
      <c r="AA258">
        <f t="shared" si="39"/>
        <v>0.0715977777777776</v>
      </c>
    </row>
    <row r="259" ht="54" spans="1:27">
      <c r="A259" s="10">
        <v>1</v>
      </c>
      <c r="B259" s="5" t="s">
        <v>428</v>
      </c>
      <c r="C259" s="5"/>
      <c r="D259" s="5">
        <f t="shared" si="40"/>
        <v>1</v>
      </c>
      <c r="E259" s="5" t="s">
        <v>26</v>
      </c>
      <c r="F259" s="6" t="s">
        <v>157</v>
      </c>
      <c r="G259" s="9" t="s">
        <v>150</v>
      </c>
      <c r="H259" s="9" t="s">
        <v>140</v>
      </c>
      <c r="I259" s="9" t="s">
        <v>111</v>
      </c>
      <c r="J259" s="9"/>
      <c r="K259" s="9" t="s">
        <v>31</v>
      </c>
      <c r="L259" s="9" t="s">
        <v>60</v>
      </c>
      <c r="M259" s="9" t="s">
        <v>342</v>
      </c>
      <c r="N259" s="13" t="s">
        <v>53</v>
      </c>
      <c r="O259" s="5">
        <v>1</v>
      </c>
      <c r="P259" s="5" t="s">
        <v>26</v>
      </c>
      <c r="Q259" s="19"/>
      <c r="R259" s="17"/>
      <c r="S259" s="17"/>
      <c r="T259" s="18">
        <v>166.088888888889</v>
      </c>
      <c r="U259" s="18">
        <v>166.088888888889</v>
      </c>
      <c r="V259" s="16"/>
      <c r="W259">
        <f t="shared" si="29"/>
        <v>207.611111111111</v>
      </c>
      <c r="X259">
        <f t="shared" si="30"/>
        <v>207.611111111111</v>
      </c>
      <c r="Y259">
        <f t="shared" si="31"/>
        <v>29.4483845547676</v>
      </c>
      <c r="Z259">
        <f t="shared" si="32"/>
        <v>29.4483845547676</v>
      </c>
      <c r="AA259">
        <f t="shared" si="39"/>
        <v>0.00664355555555556</v>
      </c>
    </row>
    <row r="260" ht="66" spans="1:27">
      <c r="A260" s="10">
        <v>5</v>
      </c>
      <c r="B260" s="5" t="s">
        <v>428</v>
      </c>
      <c r="C260" s="5"/>
      <c r="D260" s="5">
        <f t="shared" si="40"/>
        <v>5</v>
      </c>
      <c r="E260" s="5" t="s">
        <v>26</v>
      </c>
      <c r="F260" s="6" t="s">
        <v>179</v>
      </c>
      <c r="G260" s="9" t="s">
        <v>42</v>
      </c>
      <c r="H260" s="9" t="s">
        <v>77</v>
      </c>
      <c r="I260" s="9" t="s">
        <v>64</v>
      </c>
      <c r="J260" s="9" t="s">
        <v>94</v>
      </c>
      <c r="K260" s="9" t="s">
        <v>44</v>
      </c>
      <c r="L260" s="9" t="s">
        <v>95</v>
      </c>
      <c r="M260" s="9" t="s">
        <v>242</v>
      </c>
      <c r="N260" s="13" t="s">
        <v>53</v>
      </c>
      <c r="O260" s="5">
        <v>5</v>
      </c>
      <c r="P260" s="5" t="s">
        <v>26</v>
      </c>
      <c r="Q260" s="19"/>
      <c r="R260" s="17"/>
      <c r="S260" s="17"/>
      <c r="T260" s="18">
        <v>45.45</v>
      </c>
      <c r="U260" s="18">
        <v>227.25</v>
      </c>
      <c r="V260" s="16"/>
      <c r="W260">
        <f t="shared" ref="W260:W323" si="41">T260*1.25</f>
        <v>56.8125</v>
      </c>
      <c r="X260">
        <f t="shared" ref="X260:X323" si="42">W260*O260</f>
        <v>284.0625</v>
      </c>
      <c r="Y260">
        <f t="shared" ref="Y260:Y323" si="43">W260/7.05</f>
        <v>8.05851063829787</v>
      </c>
      <c r="Z260">
        <f t="shared" ref="Z260:Z323" si="44">Y260*O260</f>
        <v>40.2925531914894</v>
      </c>
      <c r="AA260">
        <f t="shared" si="39"/>
        <v>0.00909</v>
      </c>
    </row>
    <row r="261" ht="54" spans="1:27">
      <c r="A261" s="10">
        <v>2</v>
      </c>
      <c r="B261" s="5" t="s">
        <v>428</v>
      </c>
      <c r="C261" s="5"/>
      <c r="D261" s="5">
        <f t="shared" si="40"/>
        <v>2</v>
      </c>
      <c r="E261" s="5" t="s">
        <v>26</v>
      </c>
      <c r="F261" s="6" t="s">
        <v>182</v>
      </c>
      <c r="G261" s="9" t="s">
        <v>28</v>
      </c>
      <c r="H261" s="9" t="s">
        <v>74</v>
      </c>
      <c r="I261" s="9" t="s">
        <v>75</v>
      </c>
      <c r="J261" s="9"/>
      <c r="K261" s="9" t="s">
        <v>31</v>
      </c>
      <c r="L261" s="9" t="s">
        <v>60</v>
      </c>
      <c r="M261" s="9" t="s">
        <v>61</v>
      </c>
      <c r="N261" s="13" t="s">
        <v>53</v>
      </c>
      <c r="O261" s="5">
        <v>2</v>
      </c>
      <c r="P261" s="5" t="s">
        <v>26</v>
      </c>
      <c r="Q261" s="19"/>
      <c r="R261" s="17"/>
      <c r="S261" s="17"/>
      <c r="T261" s="18">
        <v>12.3444444444444</v>
      </c>
      <c r="U261" s="18">
        <v>24.6888888888888</v>
      </c>
      <c r="V261" s="16"/>
      <c r="W261">
        <f t="shared" si="41"/>
        <v>15.4305555555555</v>
      </c>
      <c r="X261">
        <f t="shared" si="42"/>
        <v>30.861111111111</v>
      </c>
      <c r="Y261">
        <f t="shared" si="43"/>
        <v>2.18873128447596</v>
      </c>
      <c r="Z261">
        <f t="shared" si="44"/>
        <v>4.37746256895192</v>
      </c>
      <c r="AA261">
        <f t="shared" si="39"/>
        <v>0.000987555555555552</v>
      </c>
    </row>
    <row r="262" ht="88.8" spans="1:27">
      <c r="A262" s="10">
        <v>220</v>
      </c>
      <c r="B262" s="5" t="s">
        <v>428</v>
      </c>
      <c r="C262" s="5"/>
      <c r="D262" s="5">
        <f t="shared" si="40"/>
        <v>220</v>
      </c>
      <c r="E262" s="5" t="s">
        <v>26</v>
      </c>
      <c r="F262" s="6" t="s">
        <v>235</v>
      </c>
      <c r="G262" s="9" t="s">
        <v>162</v>
      </c>
      <c r="H262" s="9" t="s">
        <v>236</v>
      </c>
      <c r="I262" s="9"/>
      <c r="J262" s="9" t="s">
        <v>94</v>
      </c>
      <c r="K262" s="9" t="s">
        <v>99</v>
      </c>
      <c r="L262" s="9" t="s">
        <v>95</v>
      </c>
      <c r="M262" s="9" t="s">
        <v>440</v>
      </c>
      <c r="N262" s="13" t="s">
        <v>53</v>
      </c>
      <c r="O262" s="5">
        <v>220</v>
      </c>
      <c r="P262" s="5" t="s">
        <v>26</v>
      </c>
      <c r="Q262" s="19"/>
      <c r="R262" s="17"/>
      <c r="S262" s="17"/>
      <c r="T262" s="18">
        <v>126.25</v>
      </c>
      <c r="U262" s="18">
        <v>27775</v>
      </c>
      <c r="V262" s="16"/>
      <c r="W262">
        <f t="shared" si="41"/>
        <v>157.8125</v>
      </c>
      <c r="X262">
        <f t="shared" si="42"/>
        <v>34718.75</v>
      </c>
      <c r="Y262">
        <f t="shared" si="43"/>
        <v>22.3847517730496</v>
      </c>
      <c r="Z262">
        <f t="shared" si="44"/>
        <v>4924.64539007092</v>
      </c>
      <c r="AA262">
        <f t="shared" si="39"/>
        <v>1.111</v>
      </c>
    </row>
    <row r="263" ht="54" spans="1:27">
      <c r="A263" s="10">
        <v>14</v>
      </c>
      <c r="B263" s="5" t="s">
        <v>428</v>
      </c>
      <c r="C263" s="5"/>
      <c r="D263" s="5">
        <f t="shared" si="40"/>
        <v>14</v>
      </c>
      <c r="E263" s="5" t="s">
        <v>26</v>
      </c>
      <c r="F263" s="6" t="s">
        <v>243</v>
      </c>
      <c r="G263" s="9" t="s">
        <v>37</v>
      </c>
      <c r="H263" s="9" t="s">
        <v>69</v>
      </c>
      <c r="I263" s="9" t="s">
        <v>64</v>
      </c>
      <c r="J263" s="9"/>
      <c r="K263" s="9" t="s">
        <v>31</v>
      </c>
      <c r="L263" s="9" t="s">
        <v>60</v>
      </c>
      <c r="M263" s="9" t="s">
        <v>61</v>
      </c>
      <c r="N263" s="13" t="s">
        <v>53</v>
      </c>
      <c r="O263" s="5">
        <v>14</v>
      </c>
      <c r="P263" s="5" t="s">
        <v>26</v>
      </c>
      <c r="Q263" s="19"/>
      <c r="R263" s="17"/>
      <c r="S263" s="17"/>
      <c r="T263" s="18">
        <v>11.2222222222222</v>
      </c>
      <c r="U263" s="18">
        <v>157.111111111111</v>
      </c>
      <c r="V263" s="16"/>
      <c r="W263">
        <f t="shared" si="41"/>
        <v>14.0277777777778</v>
      </c>
      <c r="X263">
        <f t="shared" si="42"/>
        <v>196.388888888889</v>
      </c>
      <c r="Y263">
        <f t="shared" si="43"/>
        <v>1.98975571315996</v>
      </c>
      <c r="Z263">
        <f t="shared" si="44"/>
        <v>27.8565799842395</v>
      </c>
      <c r="AA263">
        <f t="shared" si="39"/>
        <v>0.00628444444444444</v>
      </c>
    </row>
    <row r="264" ht="54" spans="1:27">
      <c r="A264" s="10">
        <v>13</v>
      </c>
      <c r="B264" s="5" t="s">
        <v>428</v>
      </c>
      <c r="C264" s="5"/>
      <c r="D264" s="5">
        <f t="shared" si="40"/>
        <v>13</v>
      </c>
      <c r="E264" s="5" t="s">
        <v>26</v>
      </c>
      <c r="F264" s="6" t="s">
        <v>245</v>
      </c>
      <c r="G264" s="9" t="s">
        <v>150</v>
      </c>
      <c r="H264" s="9" t="s">
        <v>126</v>
      </c>
      <c r="I264" s="9" t="s">
        <v>114</v>
      </c>
      <c r="J264" s="9"/>
      <c r="K264" s="9" t="s">
        <v>31</v>
      </c>
      <c r="L264" s="9" t="s">
        <v>60</v>
      </c>
      <c r="M264" s="9" t="s">
        <v>342</v>
      </c>
      <c r="N264" s="13" t="s">
        <v>53</v>
      </c>
      <c r="O264" s="5">
        <v>13</v>
      </c>
      <c r="P264" s="5" t="s">
        <v>26</v>
      </c>
      <c r="Q264" s="19"/>
      <c r="R264" s="17"/>
      <c r="S264" s="17"/>
      <c r="T264" s="18">
        <v>35.9111111111111</v>
      </c>
      <c r="U264" s="18">
        <v>466.844444444444</v>
      </c>
      <c r="V264" s="16"/>
      <c r="W264">
        <f t="shared" si="41"/>
        <v>44.8888888888889</v>
      </c>
      <c r="X264">
        <f t="shared" si="42"/>
        <v>583.555555555555</v>
      </c>
      <c r="Y264">
        <f t="shared" si="43"/>
        <v>6.3672182821119</v>
      </c>
      <c r="Z264">
        <f t="shared" si="44"/>
        <v>82.7738376674547</v>
      </c>
      <c r="AA264">
        <f t="shared" si="39"/>
        <v>0.0186737777777778</v>
      </c>
    </row>
    <row r="265" ht="69.6" spans="1:27">
      <c r="A265" s="10">
        <v>4</v>
      </c>
      <c r="B265" s="5" t="s">
        <v>428</v>
      </c>
      <c r="C265" s="5"/>
      <c r="D265" s="5">
        <f t="shared" si="40"/>
        <v>4</v>
      </c>
      <c r="E265" s="5" t="s">
        <v>26</v>
      </c>
      <c r="F265" s="6" t="s">
        <v>246</v>
      </c>
      <c r="G265" s="9" t="s">
        <v>28</v>
      </c>
      <c r="H265" s="9" t="s">
        <v>77</v>
      </c>
      <c r="I265" s="9" t="s">
        <v>64</v>
      </c>
      <c r="J265" s="9"/>
      <c r="K265" s="9" t="s">
        <v>31</v>
      </c>
      <c r="L265" s="9" t="s">
        <v>60</v>
      </c>
      <c r="M265" s="9" t="s">
        <v>441</v>
      </c>
      <c r="N265" s="13" t="s">
        <v>53</v>
      </c>
      <c r="O265" s="5">
        <v>4</v>
      </c>
      <c r="P265" s="5" t="s">
        <v>26</v>
      </c>
      <c r="Q265" s="19"/>
      <c r="R265" s="17"/>
      <c r="S265" s="17"/>
      <c r="T265" s="18">
        <v>22.4444444444444</v>
      </c>
      <c r="U265" s="18">
        <v>89.7777777777776</v>
      </c>
      <c r="V265" s="16"/>
      <c r="W265">
        <f t="shared" si="41"/>
        <v>28.0555555555555</v>
      </c>
      <c r="X265">
        <f t="shared" si="42"/>
        <v>112.222222222222</v>
      </c>
      <c r="Y265">
        <f t="shared" si="43"/>
        <v>3.97951142631993</v>
      </c>
      <c r="Z265">
        <f t="shared" si="44"/>
        <v>15.9180457052797</v>
      </c>
      <c r="AA265">
        <f t="shared" si="39"/>
        <v>0.0035911111111111</v>
      </c>
    </row>
    <row r="266" ht="54" spans="1:27">
      <c r="A266" s="10">
        <v>7</v>
      </c>
      <c r="B266" s="5" t="s">
        <v>428</v>
      </c>
      <c r="C266" s="5"/>
      <c r="D266" s="5">
        <f t="shared" si="40"/>
        <v>7</v>
      </c>
      <c r="E266" s="5" t="s">
        <v>26</v>
      </c>
      <c r="F266" s="6" t="s">
        <v>248</v>
      </c>
      <c r="G266" s="9" t="s">
        <v>102</v>
      </c>
      <c r="H266" s="9" t="s">
        <v>126</v>
      </c>
      <c r="I266" s="9" t="s">
        <v>114</v>
      </c>
      <c r="J266" s="9"/>
      <c r="K266" s="9" t="s">
        <v>31</v>
      </c>
      <c r="L266" s="9" t="s">
        <v>60</v>
      </c>
      <c r="M266" s="9" t="s">
        <v>118</v>
      </c>
      <c r="N266" s="13" t="s">
        <v>53</v>
      </c>
      <c r="O266" s="5">
        <v>7</v>
      </c>
      <c r="P266" s="5" t="s">
        <v>26</v>
      </c>
      <c r="Q266" s="19"/>
      <c r="R266" s="17"/>
      <c r="S266" s="17"/>
      <c r="T266" s="18">
        <v>15.7111111111111</v>
      </c>
      <c r="U266" s="18">
        <v>109.977777777778</v>
      </c>
      <c r="V266" s="16"/>
      <c r="W266">
        <f t="shared" si="41"/>
        <v>19.6388888888889</v>
      </c>
      <c r="X266">
        <f t="shared" si="42"/>
        <v>137.472222222222</v>
      </c>
      <c r="Y266">
        <f t="shared" si="43"/>
        <v>2.78565799842395</v>
      </c>
      <c r="Z266">
        <f t="shared" si="44"/>
        <v>19.4996059889677</v>
      </c>
      <c r="AA266">
        <f t="shared" si="39"/>
        <v>0.00439911111111112</v>
      </c>
    </row>
    <row r="267" ht="69.6" spans="1:27">
      <c r="A267" s="10">
        <v>10</v>
      </c>
      <c r="B267" s="5" t="s">
        <v>428</v>
      </c>
      <c r="C267" s="5"/>
      <c r="D267" s="5">
        <f t="shared" si="40"/>
        <v>10</v>
      </c>
      <c r="E267" s="5" t="s">
        <v>26</v>
      </c>
      <c r="F267" s="6" t="s">
        <v>249</v>
      </c>
      <c r="G267" s="9" t="s">
        <v>102</v>
      </c>
      <c r="H267" s="9" t="s">
        <v>204</v>
      </c>
      <c r="I267" s="9" t="s">
        <v>104</v>
      </c>
      <c r="J267" s="9"/>
      <c r="K267" s="9" t="s">
        <v>31</v>
      </c>
      <c r="L267" s="9" t="s">
        <v>60</v>
      </c>
      <c r="M267" s="9" t="s">
        <v>442</v>
      </c>
      <c r="N267" s="13" t="s">
        <v>53</v>
      </c>
      <c r="O267" s="5">
        <v>10</v>
      </c>
      <c r="P267" s="5" t="s">
        <v>26</v>
      </c>
      <c r="Q267" s="19"/>
      <c r="R267" s="17"/>
      <c r="S267" s="17"/>
      <c r="T267" s="18">
        <v>17.9555555555556</v>
      </c>
      <c r="U267" s="18">
        <v>179.555555555556</v>
      </c>
      <c r="V267" s="16"/>
      <c r="W267">
        <f t="shared" si="41"/>
        <v>22.4444444444445</v>
      </c>
      <c r="X267">
        <f t="shared" si="42"/>
        <v>224.444444444445</v>
      </c>
      <c r="Y267">
        <f t="shared" si="43"/>
        <v>3.18360914105596</v>
      </c>
      <c r="Z267">
        <f t="shared" si="44"/>
        <v>31.8360914105596</v>
      </c>
      <c r="AA267">
        <f t="shared" si="39"/>
        <v>0.00718222222222224</v>
      </c>
    </row>
    <row r="268" ht="54" spans="1:27">
      <c r="A268" s="10">
        <v>2</v>
      </c>
      <c r="B268" s="5" t="s">
        <v>428</v>
      </c>
      <c r="C268" s="5"/>
      <c r="D268" s="5">
        <f t="shared" si="40"/>
        <v>2</v>
      </c>
      <c r="E268" s="5" t="s">
        <v>26</v>
      </c>
      <c r="F268" s="6" t="s">
        <v>251</v>
      </c>
      <c r="G268" s="9" t="s">
        <v>28</v>
      </c>
      <c r="H268" s="9" t="s">
        <v>69</v>
      </c>
      <c r="I268" s="9" t="s">
        <v>64</v>
      </c>
      <c r="J268" s="9"/>
      <c r="K268" s="9" t="s">
        <v>31</v>
      </c>
      <c r="L268" s="9" t="s">
        <v>60</v>
      </c>
      <c r="M268" s="9" t="s">
        <v>61</v>
      </c>
      <c r="N268" s="13" t="s">
        <v>53</v>
      </c>
      <c r="O268" s="5">
        <v>2</v>
      </c>
      <c r="P268" s="5" t="s">
        <v>26</v>
      </c>
      <c r="Q268" s="19"/>
      <c r="R268" s="17"/>
      <c r="S268" s="17"/>
      <c r="T268" s="18">
        <v>11.2222222222222</v>
      </c>
      <c r="U268" s="18">
        <v>22.4444444444444</v>
      </c>
      <c r="V268" s="16"/>
      <c r="W268">
        <f t="shared" si="41"/>
        <v>14.0277777777778</v>
      </c>
      <c r="X268">
        <f t="shared" si="42"/>
        <v>28.0555555555555</v>
      </c>
      <c r="Y268">
        <f t="shared" si="43"/>
        <v>1.98975571315996</v>
      </c>
      <c r="Z268">
        <f t="shared" si="44"/>
        <v>3.97951142631993</v>
      </c>
      <c r="AA268">
        <f t="shared" si="39"/>
        <v>0.000897777777777776</v>
      </c>
    </row>
    <row r="269" ht="54" spans="1:27">
      <c r="A269" s="10">
        <v>1</v>
      </c>
      <c r="B269" s="5" t="s">
        <v>428</v>
      </c>
      <c r="C269" s="5"/>
      <c r="D269" s="5">
        <f t="shared" si="40"/>
        <v>1</v>
      </c>
      <c r="E269" s="5" t="s">
        <v>26</v>
      </c>
      <c r="F269" s="6" t="s">
        <v>252</v>
      </c>
      <c r="G269" s="9" t="s">
        <v>253</v>
      </c>
      <c r="H269" s="9" t="s">
        <v>57</v>
      </c>
      <c r="I269" s="9" t="s">
        <v>55</v>
      </c>
      <c r="J269" s="9"/>
      <c r="K269" s="9" t="s">
        <v>254</v>
      </c>
      <c r="L269" s="9" t="s">
        <v>95</v>
      </c>
      <c r="M269" s="9" t="s">
        <v>255</v>
      </c>
      <c r="N269" s="13" t="s">
        <v>53</v>
      </c>
      <c r="O269" s="5">
        <v>1</v>
      </c>
      <c r="P269" s="5" t="s">
        <v>26</v>
      </c>
      <c r="Q269" s="19"/>
      <c r="R269" s="17"/>
      <c r="S269" s="17"/>
      <c r="T269" s="18">
        <v>48.2555555555556</v>
      </c>
      <c r="U269" s="18">
        <v>48.2555555555556</v>
      </c>
      <c r="V269" s="16"/>
      <c r="W269">
        <f t="shared" si="41"/>
        <v>60.3194444444445</v>
      </c>
      <c r="X269">
        <f t="shared" si="42"/>
        <v>60.3194444444445</v>
      </c>
      <c r="Y269">
        <f t="shared" si="43"/>
        <v>8.55594956658787</v>
      </c>
      <c r="Z269">
        <f t="shared" si="44"/>
        <v>8.55594956658787</v>
      </c>
      <c r="AA269">
        <f t="shared" si="39"/>
        <v>0.00193022222222222</v>
      </c>
    </row>
    <row r="270" ht="54" spans="1:27">
      <c r="A270" s="10">
        <v>6</v>
      </c>
      <c r="B270" s="5" t="s">
        <v>428</v>
      </c>
      <c r="C270" s="5"/>
      <c r="D270" s="5">
        <f t="shared" si="40"/>
        <v>6</v>
      </c>
      <c r="E270" s="5" t="s">
        <v>26</v>
      </c>
      <c r="F270" s="6" t="s">
        <v>256</v>
      </c>
      <c r="G270" s="9" t="s">
        <v>253</v>
      </c>
      <c r="H270" s="9" t="s">
        <v>59</v>
      </c>
      <c r="I270" s="9" t="s">
        <v>55</v>
      </c>
      <c r="J270" s="9"/>
      <c r="K270" s="9" t="s">
        <v>254</v>
      </c>
      <c r="L270" s="9" t="s">
        <v>95</v>
      </c>
      <c r="M270" s="9" t="s">
        <v>255</v>
      </c>
      <c r="N270" s="13" t="s">
        <v>53</v>
      </c>
      <c r="O270" s="5">
        <v>6</v>
      </c>
      <c r="P270" s="5" t="s">
        <v>26</v>
      </c>
      <c r="Q270" s="19"/>
      <c r="R270" s="17"/>
      <c r="S270" s="17"/>
      <c r="T270" s="18">
        <v>68.4555555555555</v>
      </c>
      <c r="U270" s="18">
        <v>410.733333333333</v>
      </c>
      <c r="V270" s="16"/>
      <c r="W270">
        <f t="shared" si="41"/>
        <v>85.5694444444444</v>
      </c>
      <c r="X270">
        <f t="shared" si="42"/>
        <v>513.416666666666</v>
      </c>
      <c r="Y270">
        <f t="shared" si="43"/>
        <v>12.1375098502758</v>
      </c>
      <c r="Z270">
        <f t="shared" si="44"/>
        <v>72.8250591016548</v>
      </c>
      <c r="AA270">
        <f t="shared" si="39"/>
        <v>0.0164293333333333</v>
      </c>
    </row>
    <row r="271" ht="111.6" spans="1:27">
      <c r="A271" s="10">
        <v>34</v>
      </c>
      <c r="B271" s="5" t="s">
        <v>428</v>
      </c>
      <c r="C271" s="5"/>
      <c r="D271" s="5">
        <f t="shared" si="40"/>
        <v>34</v>
      </c>
      <c r="E271" s="5" t="s">
        <v>26</v>
      </c>
      <c r="F271" s="6" t="s">
        <v>257</v>
      </c>
      <c r="G271" s="9" t="s">
        <v>258</v>
      </c>
      <c r="H271" s="9" t="s">
        <v>259</v>
      </c>
      <c r="I271" s="9" t="s">
        <v>75</v>
      </c>
      <c r="J271" s="9"/>
      <c r="K271" s="9" t="s">
        <v>261</v>
      </c>
      <c r="L271" s="9" t="s">
        <v>262</v>
      </c>
      <c r="M271" s="9" t="s">
        <v>443</v>
      </c>
      <c r="N271" s="13" t="s">
        <v>53</v>
      </c>
      <c r="O271" s="5">
        <v>34</v>
      </c>
      <c r="P271" s="5" t="s">
        <v>26</v>
      </c>
      <c r="Q271" s="19"/>
      <c r="R271" s="17"/>
      <c r="S271" s="17"/>
      <c r="T271" s="18">
        <v>434.888888888889</v>
      </c>
      <c r="U271" s="18">
        <v>14786.2222222222</v>
      </c>
      <c r="V271" s="16"/>
      <c r="W271">
        <f t="shared" si="41"/>
        <v>543.611111111111</v>
      </c>
      <c r="X271">
        <f t="shared" si="42"/>
        <v>18482.7777777778</v>
      </c>
      <c r="Y271">
        <f t="shared" si="43"/>
        <v>77.1079590228527</v>
      </c>
      <c r="Z271">
        <f t="shared" si="44"/>
        <v>2621.67060677699</v>
      </c>
      <c r="AA271">
        <f t="shared" si="39"/>
        <v>0.591448888888888</v>
      </c>
    </row>
    <row r="272" ht="92.4" spans="1:27">
      <c r="A272" s="10">
        <v>2</v>
      </c>
      <c r="B272" s="5" t="s">
        <v>428</v>
      </c>
      <c r="C272" s="5"/>
      <c r="D272" s="5">
        <f t="shared" ref="D272:D280" si="45">A272</f>
        <v>2</v>
      </c>
      <c r="E272" s="5" t="s">
        <v>26</v>
      </c>
      <c r="F272" s="6" t="s">
        <v>264</v>
      </c>
      <c r="G272" s="9" t="s">
        <v>37</v>
      </c>
      <c r="H272" s="9" t="s">
        <v>59</v>
      </c>
      <c r="I272" s="9" t="s">
        <v>265</v>
      </c>
      <c r="J272" s="9"/>
      <c r="K272" s="9" t="s">
        <v>266</v>
      </c>
      <c r="L272" s="9" t="s">
        <v>444</v>
      </c>
      <c r="M272" s="9" t="s">
        <v>445</v>
      </c>
      <c r="N272" s="13" t="s">
        <v>53</v>
      </c>
      <c r="O272" s="5">
        <v>2</v>
      </c>
      <c r="P272" s="5" t="s">
        <v>26</v>
      </c>
      <c r="Q272" s="10"/>
      <c r="R272" s="17"/>
      <c r="S272" s="17"/>
      <c r="T272" s="18">
        <v>180.677777777778</v>
      </c>
      <c r="U272" s="18">
        <v>361.355555555556</v>
      </c>
      <c r="V272" s="16"/>
      <c r="W272">
        <f t="shared" si="41"/>
        <v>225.847222222223</v>
      </c>
      <c r="X272">
        <f t="shared" si="42"/>
        <v>451.694444444445</v>
      </c>
      <c r="Y272">
        <f t="shared" si="43"/>
        <v>32.0350669818755</v>
      </c>
      <c r="Z272">
        <f t="shared" si="44"/>
        <v>64.0701339637511</v>
      </c>
      <c r="AA272">
        <f>U272/35000</f>
        <v>0.0103244444444445</v>
      </c>
    </row>
    <row r="273" ht="92.4" spans="1:27">
      <c r="A273" s="10">
        <v>3</v>
      </c>
      <c r="B273" s="5" t="s">
        <v>428</v>
      </c>
      <c r="C273" s="5"/>
      <c r="D273" s="5">
        <f t="shared" si="45"/>
        <v>3</v>
      </c>
      <c r="E273" s="5" t="s">
        <v>26</v>
      </c>
      <c r="F273" s="6" t="s">
        <v>269</v>
      </c>
      <c r="G273" s="9" t="s">
        <v>37</v>
      </c>
      <c r="H273" s="9" t="s">
        <v>63</v>
      </c>
      <c r="I273" s="9" t="s">
        <v>265</v>
      </c>
      <c r="J273" s="9"/>
      <c r="K273" s="9" t="s">
        <v>266</v>
      </c>
      <c r="L273" s="9" t="s">
        <v>444</v>
      </c>
      <c r="M273" s="9" t="s">
        <v>445</v>
      </c>
      <c r="N273" s="13" t="s">
        <v>53</v>
      </c>
      <c r="O273" s="5">
        <v>3</v>
      </c>
      <c r="P273" s="5" t="s">
        <v>26</v>
      </c>
      <c r="Q273" s="10"/>
      <c r="R273" s="17"/>
      <c r="S273" s="17"/>
      <c r="T273" s="18">
        <v>471.333333333333</v>
      </c>
      <c r="U273" s="18">
        <v>1414</v>
      </c>
      <c r="V273" s="16"/>
      <c r="W273">
        <f t="shared" si="41"/>
        <v>589.166666666666</v>
      </c>
      <c r="X273">
        <f t="shared" si="42"/>
        <v>1767.5</v>
      </c>
      <c r="Y273">
        <f t="shared" si="43"/>
        <v>83.5697399527186</v>
      </c>
      <c r="Z273">
        <f t="shared" si="44"/>
        <v>250.709219858156</v>
      </c>
      <c r="AA273">
        <f>U273/35000</f>
        <v>0.0404</v>
      </c>
    </row>
    <row r="274" ht="54" spans="1:27">
      <c r="A274" s="10">
        <v>5</v>
      </c>
      <c r="B274" s="5" t="s">
        <v>428</v>
      </c>
      <c r="C274" s="5"/>
      <c r="D274" s="5">
        <f t="shared" si="45"/>
        <v>5</v>
      </c>
      <c r="E274" s="5" t="s">
        <v>26</v>
      </c>
      <c r="F274" s="6" t="s">
        <v>270</v>
      </c>
      <c r="G274" s="9" t="s">
        <v>93</v>
      </c>
      <c r="H274" s="9" t="s">
        <v>72</v>
      </c>
      <c r="I274" s="9"/>
      <c r="J274" s="9" t="s">
        <v>94</v>
      </c>
      <c r="K274" s="9" t="s">
        <v>44</v>
      </c>
      <c r="L274" s="9" t="s">
        <v>95</v>
      </c>
      <c r="M274" s="9" t="s">
        <v>271</v>
      </c>
      <c r="N274" s="13" t="s">
        <v>53</v>
      </c>
      <c r="O274" s="5">
        <v>5</v>
      </c>
      <c r="P274" s="5" t="s">
        <v>26</v>
      </c>
      <c r="Q274" s="19"/>
      <c r="R274" s="17"/>
      <c r="S274" s="17"/>
      <c r="T274" s="18">
        <v>60.6</v>
      </c>
      <c r="U274" s="18">
        <v>303</v>
      </c>
      <c r="V274" s="16"/>
      <c r="W274">
        <f t="shared" si="41"/>
        <v>75.75</v>
      </c>
      <c r="X274">
        <f t="shared" si="42"/>
        <v>378.75</v>
      </c>
      <c r="Y274">
        <f t="shared" si="43"/>
        <v>10.7446808510638</v>
      </c>
      <c r="Z274">
        <f t="shared" si="44"/>
        <v>53.7234042553192</v>
      </c>
      <c r="AA274">
        <f t="shared" ref="AA274:AA311" si="46">U274/25000</f>
        <v>0.01212</v>
      </c>
    </row>
    <row r="275" ht="73.2" spans="1:27">
      <c r="A275" s="10">
        <v>1</v>
      </c>
      <c r="B275" s="5" t="s">
        <v>428</v>
      </c>
      <c r="C275" s="5"/>
      <c r="D275" s="5">
        <f t="shared" si="45"/>
        <v>1</v>
      </c>
      <c r="E275" s="5" t="s">
        <v>26</v>
      </c>
      <c r="F275" s="6" t="s">
        <v>272</v>
      </c>
      <c r="G275" s="9" t="s">
        <v>273</v>
      </c>
      <c r="H275" s="9" t="s">
        <v>77</v>
      </c>
      <c r="I275" s="9"/>
      <c r="J275" s="9" t="s">
        <v>274</v>
      </c>
      <c r="K275" s="9" t="s">
        <v>167</v>
      </c>
      <c r="L275" s="9" t="s">
        <v>95</v>
      </c>
      <c r="M275" s="9" t="s">
        <v>446</v>
      </c>
      <c r="N275" s="13" t="s">
        <v>53</v>
      </c>
      <c r="O275" s="5">
        <v>1</v>
      </c>
      <c r="P275" s="5" t="s">
        <v>26</v>
      </c>
      <c r="Q275" s="19"/>
      <c r="R275" s="17"/>
      <c r="S275" s="17"/>
      <c r="T275" s="18">
        <v>62.9444444444444</v>
      </c>
      <c r="U275" s="18">
        <v>62.9444444444444</v>
      </c>
      <c r="V275" s="16"/>
      <c r="W275">
        <f t="shared" si="41"/>
        <v>78.6805555555555</v>
      </c>
      <c r="X275">
        <f t="shared" si="42"/>
        <v>78.6805555555555</v>
      </c>
      <c r="Y275">
        <f t="shared" si="43"/>
        <v>11.1603624901497</v>
      </c>
      <c r="Z275">
        <f t="shared" si="44"/>
        <v>11.1603624901497</v>
      </c>
      <c r="AA275">
        <f t="shared" si="46"/>
        <v>0.00251777777777778</v>
      </c>
    </row>
    <row r="276" ht="76.8" spans="1:27">
      <c r="A276" s="10">
        <v>6</v>
      </c>
      <c r="B276" s="5" t="s">
        <v>428</v>
      </c>
      <c r="C276" s="5"/>
      <c r="D276" s="5">
        <f t="shared" si="45"/>
        <v>6</v>
      </c>
      <c r="E276" s="5" t="s">
        <v>26</v>
      </c>
      <c r="F276" s="6" t="s">
        <v>276</v>
      </c>
      <c r="G276" s="9" t="s">
        <v>277</v>
      </c>
      <c r="H276" s="9" t="s">
        <v>74</v>
      </c>
      <c r="I276" s="9"/>
      <c r="J276" s="9"/>
      <c r="K276" s="9" t="s">
        <v>261</v>
      </c>
      <c r="L276" s="9" t="s">
        <v>262</v>
      </c>
      <c r="M276" s="9" t="s">
        <v>447</v>
      </c>
      <c r="N276" s="13" t="s">
        <v>53</v>
      </c>
      <c r="O276" s="5">
        <v>6</v>
      </c>
      <c r="P276" s="5" t="s">
        <v>26</v>
      </c>
      <c r="Q276" s="19"/>
      <c r="R276" s="17"/>
      <c r="S276" s="17"/>
      <c r="T276" s="18"/>
      <c r="U276" s="18"/>
      <c r="V276" s="16" t="s">
        <v>279</v>
      </c>
      <c r="W276">
        <f t="shared" si="41"/>
        <v>0</v>
      </c>
      <c r="X276">
        <f t="shared" si="42"/>
        <v>0</v>
      </c>
      <c r="Y276">
        <f t="shared" si="43"/>
        <v>0</v>
      </c>
      <c r="Z276">
        <f t="shared" si="44"/>
        <v>0</v>
      </c>
      <c r="AA276">
        <f t="shared" si="46"/>
        <v>0</v>
      </c>
    </row>
    <row r="277" ht="76.8" spans="1:27">
      <c r="A277" s="10">
        <v>1</v>
      </c>
      <c r="B277" s="5" t="s">
        <v>428</v>
      </c>
      <c r="C277" s="5"/>
      <c r="D277" s="5">
        <f t="shared" si="45"/>
        <v>1</v>
      </c>
      <c r="E277" s="5" t="s">
        <v>26</v>
      </c>
      <c r="F277" s="6" t="s">
        <v>280</v>
      </c>
      <c r="G277" s="9" t="s">
        <v>277</v>
      </c>
      <c r="H277" s="9" t="s">
        <v>29</v>
      </c>
      <c r="I277" s="9"/>
      <c r="J277" s="9"/>
      <c r="K277" s="9" t="s">
        <v>261</v>
      </c>
      <c r="L277" s="9" t="s">
        <v>262</v>
      </c>
      <c r="M277" s="9" t="s">
        <v>447</v>
      </c>
      <c r="N277" s="13" t="s">
        <v>53</v>
      </c>
      <c r="O277" s="5">
        <v>1</v>
      </c>
      <c r="P277" s="5" t="s">
        <v>26</v>
      </c>
      <c r="Q277" s="19"/>
      <c r="R277" s="17"/>
      <c r="S277" s="17"/>
      <c r="T277" s="18"/>
      <c r="U277" s="18"/>
      <c r="V277" s="16" t="s">
        <v>279</v>
      </c>
      <c r="W277">
        <f t="shared" si="41"/>
        <v>0</v>
      </c>
      <c r="X277">
        <f t="shared" si="42"/>
        <v>0</v>
      </c>
      <c r="Y277">
        <f t="shared" si="43"/>
        <v>0</v>
      </c>
      <c r="Z277">
        <f t="shared" si="44"/>
        <v>0</v>
      </c>
      <c r="AA277">
        <f t="shared" si="46"/>
        <v>0</v>
      </c>
    </row>
    <row r="278" ht="76.8" spans="1:27">
      <c r="A278" s="10">
        <v>4</v>
      </c>
      <c r="B278" s="5" t="s">
        <v>428</v>
      </c>
      <c r="C278" s="5"/>
      <c r="D278" s="5">
        <f t="shared" si="45"/>
        <v>4</v>
      </c>
      <c r="E278" s="5" t="s">
        <v>26</v>
      </c>
      <c r="F278" s="6" t="s">
        <v>281</v>
      </c>
      <c r="G278" s="9" t="s">
        <v>277</v>
      </c>
      <c r="H278" s="9" t="s">
        <v>57</v>
      </c>
      <c r="I278" s="9"/>
      <c r="J278" s="9"/>
      <c r="K278" s="9" t="s">
        <v>261</v>
      </c>
      <c r="L278" s="9" t="s">
        <v>262</v>
      </c>
      <c r="M278" s="9" t="s">
        <v>447</v>
      </c>
      <c r="N278" s="13" t="s">
        <v>53</v>
      </c>
      <c r="O278" s="5">
        <v>4</v>
      </c>
      <c r="P278" s="5" t="s">
        <v>26</v>
      </c>
      <c r="Q278" s="19"/>
      <c r="R278" s="17"/>
      <c r="S278" s="17"/>
      <c r="T278" s="18"/>
      <c r="U278" s="18"/>
      <c r="V278" s="16" t="s">
        <v>279</v>
      </c>
      <c r="W278">
        <f t="shared" si="41"/>
        <v>0</v>
      </c>
      <c r="X278">
        <f t="shared" si="42"/>
        <v>0</v>
      </c>
      <c r="Y278">
        <f t="shared" si="43"/>
        <v>0</v>
      </c>
      <c r="Z278">
        <f t="shared" si="44"/>
        <v>0</v>
      </c>
      <c r="AA278">
        <f t="shared" si="46"/>
        <v>0</v>
      </c>
    </row>
    <row r="279" ht="88.8" spans="1:27">
      <c r="A279" s="10">
        <v>148</v>
      </c>
      <c r="B279" s="5" t="s">
        <v>428</v>
      </c>
      <c r="C279" s="5"/>
      <c r="D279" s="5">
        <f t="shared" si="45"/>
        <v>148</v>
      </c>
      <c r="E279" s="5" t="s">
        <v>26</v>
      </c>
      <c r="F279" s="6" t="s">
        <v>282</v>
      </c>
      <c r="G279" s="9" t="s">
        <v>283</v>
      </c>
      <c r="H279" s="9" t="s">
        <v>136</v>
      </c>
      <c r="I279" s="9"/>
      <c r="J279" s="9" t="s">
        <v>448</v>
      </c>
      <c r="K279" s="9" t="s">
        <v>285</v>
      </c>
      <c r="L279" s="9" t="s">
        <v>95</v>
      </c>
      <c r="M279" s="9" t="s">
        <v>449</v>
      </c>
      <c r="N279" s="13" t="s">
        <v>53</v>
      </c>
      <c r="O279" s="5">
        <v>148</v>
      </c>
      <c r="P279" s="5" t="s">
        <v>26</v>
      </c>
      <c r="Q279" s="19"/>
      <c r="R279" s="17"/>
      <c r="S279" s="17"/>
      <c r="T279" s="18">
        <v>80.1111111111111</v>
      </c>
      <c r="U279" s="18">
        <v>11856.4444444444</v>
      </c>
      <c r="V279" s="16"/>
      <c r="W279">
        <f t="shared" si="41"/>
        <v>100.138888888889</v>
      </c>
      <c r="X279">
        <f t="shared" si="42"/>
        <v>14820.5555555556</v>
      </c>
      <c r="Y279">
        <f t="shared" si="43"/>
        <v>14.204097714736</v>
      </c>
      <c r="Z279">
        <f t="shared" si="44"/>
        <v>2102.20646178093</v>
      </c>
      <c r="AA279">
        <f t="shared" si="46"/>
        <v>0.474257777777776</v>
      </c>
    </row>
    <row r="280" ht="76.8" spans="1:27">
      <c r="A280" s="5">
        <v>6</v>
      </c>
      <c r="B280" s="5" t="s">
        <v>428</v>
      </c>
      <c r="C280" s="5"/>
      <c r="D280" s="5">
        <f t="shared" si="45"/>
        <v>6</v>
      </c>
      <c r="E280" s="5" t="s">
        <v>26</v>
      </c>
      <c r="F280" s="6" t="s">
        <v>287</v>
      </c>
      <c r="G280" s="9" t="s">
        <v>37</v>
      </c>
      <c r="H280" s="9" t="s">
        <v>29</v>
      </c>
      <c r="I280" s="9" t="s">
        <v>30</v>
      </c>
      <c r="J280" s="9"/>
      <c r="K280" s="9" t="s">
        <v>254</v>
      </c>
      <c r="L280" s="9" t="s">
        <v>288</v>
      </c>
      <c r="M280" s="9" t="s">
        <v>289</v>
      </c>
      <c r="N280" s="12" t="s">
        <v>34</v>
      </c>
      <c r="O280" s="5">
        <v>6</v>
      </c>
      <c r="P280" s="5" t="s">
        <v>26</v>
      </c>
      <c r="Q280" s="5" t="s">
        <v>35</v>
      </c>
      <c r="R280" s="17"/>
      <c r="S280" s="17"/>
      <c r="T280" s="18">
        <v>69.5777777777778</v>
      </c>
      <c r="U280" s="18">
        <v>417.466666666667</v>
      </c>
      <c r="V280" s="16"/>
      <c r="W280">
        <f t="shared" si="41"/>
        <v>86.9722222222222</v>
      </c>
      <c r="X280">
        <f t="shared" si="42"/>
        <v>521.833333333333</v>
      </c>
      <c r="Y280">
        <f t="shared" si="43"/>
        <v>12.3364854215918</v>
      </c>
      <c r="Z280">
        <f t="shared" si="44"/>
        <v>74.0189125295508</v>
      </c>
      <c r="AA280">
        <f t="shared" si="46"/>
        <v>0.0166986666666667</v>
      </c>
    </row>
    <row r="281" ht="76.8" spans="1:27">
      <c r="A281" s="10">
        <v>3</v>
      </c>
      <c r="B281" s="10" t="s">
        <v>428</v>
      </c>
      <c r="C281" s="10"/>
      <c r="D281" s="5">
        <f t="shared" ref="D281:D294" si="47">A281</f>
        <v>3</v>
      </c>
      <c r="E281" s="5" t="s">
        <v>26</v>
      </c>
      <c r="F281" s="20" t="s">
        <v>300</v>
      </c>
      <c r="G281" s="9" t="s">
        <v>28</v>
      </c>
      <c r="H281" s="9" t="s">
        <v>57</v>
      </c>
      <c r="I281" s="9" t="s">
        <v>55</v>
      </c>
      <c r="J281" s="9"/>
      <c r="K281" s="9" t="s">
        <v>31</v>
      </c>
      <c r="L281" s="9" t="s">
        <v>291</v>
      </c>
      <c r="M281" s="9" t="s">
        <v>289</v>
      </c>
      <c r="N281" s="13" t="s">
        <v>53</v>
      </c>
      <c r="O281" s="5">
        <v>3</v>
      </c>
      <c r="P281" s="5" t="s">
        <v>26</v>
      </c>
      <c r="Q281" s="10"/>
      <c r="R281" s="17"/>
      <c r="S281" s="17"/>
      <c r="T281" s="18">
        <v>63.9666666666667</v>
      </c>
      <c r="U281" s="18">
        <v>191.9</v>
      </c>
      <c r="V281" s="16"/>
      <c r="W281">
        <f t="shared" si="41"/>
        <v>79.9583333333334</v>
      </c>
      <c r="X281">
        <f t="shared" si="42"/>
        <v>239.875</v>
      </c>
      <c r="Y281">
        <f t="shared" si="43"/>
        <v>11.3416075650118</v>
      </c>
      <c r="Z281">
        <f t="shared" si="44"/>
        <v>34.0248226950355</v>
      </c>
      <c r="AA281">
        <f t="shared" si="46"/>
        <v>0.007676</v>
      </c>
    </row>
    <row r="282" ht="38.4" spans="1:27">
      <c r="A282" s="10">
        <v>10</v>
      </c>
      <c r="B282" s="10" t="s">
        <v>428</v>
      </c>
      <c r="C282" s="10"/>
      <c r="D282" s="5">
        <f t="shared" si="47"/>
        <v>10</v>
      </c>
      <c r="E282" s="5" t="s">
        <v>26</v>
      </c>
      <c r="F282" s="20" t="s">
        <v>450</v>
      </c>
      <c r="G282" s="9" t="s">
        <v>28</v>
      </c>
      <c r="H282" s="9" t="s">
        <v>59</v>
      </c>
      <c r="I282" s="9" t="s">
        <v>55</v>
      </c>
      <c r="J282" s="9"/>
      <c r="K282" s="9" t="s">
        <v>31</v>
      </c>
      <c r="L282" s="9" t="s">
        <v>291</v>
      </c>
      <c r="M282" s="9" t="s">
        <v>61</v>
      </c>
      <c r="N282" s="13" t="s">
        <v>53</v>
      </c>
      <c r="O282" s="5">
        <v>10</v>
      </c>
      <c r="P282" s="5" t="s">
        <v>26</v>
      </c>
      <c r="Q282" s="10"/>
      <c r="R282" s="17"/>
      <c r="S282" s="17"/>
      <c r="T282" s="18">
        <v>108.855555555556</v>
      </c>
      <c r="U282" s="18">
        <v>1088.55555555556</v>
      </c>
      <c r="V282" s="16"/>
      <c r="W282">
        <f t="shared" si="41"/>
        <v>136.069444444445</v>
      </c>
      <c r="X282">
        <f t="shared" si="42"/>
        <v>1360.69444444445</v>
      </c>
      <c r="Y282">
        <f t="shared" si="43"/>
        <v>19.3006304176518</v>
      </c>
      <c r="Z282">
        <f t="shared" si="44"/>
        <v>193.006304176518</v>
      </c>
      <c r="AA282">
        <f t="shared" si="46"/>
        <v>0.0435422222222224</v>
      </c>
    </row>
    <row r="283" ht="38.4" spans="1:27">
      <c r="A283" s="10">
        <v>70</v>
      </c>
      <c r="B283" s="10" t="s">
        <v>428</v>
      </c>
      <c r="C283" s="10"/>
      <c r="D283" s="5">
        <f t="shared" si="47"/>
        <v>70</v>
      </c>
      <c r="E283" s="5" t="s">
        <v>26</v>
      </c>
      <c r="F283" s="20" t="s">
        <v>451</v>
      </c>
      <c r="G283" s="9" t="s">
        <v>37</v>
      </c>
      <c r="H283" s="9" t="s">
        <v>57</v>
      </c>
      <c r="I283" s="9" t="s">
        <v>55</v>
      </c>
      <c r="J283" s="9"/>
      <c r="K283" s="9" t="s">
        <v>31</v>
      </c>
      <c r="L283" s="9" t="s">
        <v>291</v>
      </c>
      <c r="M283" s="9" t="s">
        <v>61</v>
      </c>
      <c r="N283" s="13" t="s">
        <v>53</v>
      </c>
      <c r="O283" s="5">
        <v>70</v>
      </c>
      <c r="P283" s="5" t="s">
        <v>26</v>
      </c>
      <c r="Q283" s="10"/>
      <c r="R283" s="17"/>
      <c r="S283" s="17"/>
      <c r="T283" s="18">
        <v>106.611111111111</v>
      </c>
      <c r="U283" s="18">
        <v>7462.77777777777</v>
      </c>
      <c r="V283" s="16"/>
      <c r="W283">
        <f t="shared" si="41"/>
        <v>133.263888888889</v>
      </c>
      <c r="X283">
        <f t="shared" si="42"/>
        <v>9328.47222222221</v>
      </c>
      <c r="Y283">
        <f t="shared" si="43"/>
        <v>18.9026792750197</v>
      </c>
      <c r="Z283">
        <f t="shared" si="44"/>
        <v>1323.18754925138</v>
      </c>
      <c r="AA283">
        <f t="shared" si="46"/>
        <v>0.298511111111111</v>
      </c>
    </row>
    <row r="284" ht="38.4" spans="1:27">
      <c r="A284" s="10">
        <v>2</v>
      </c>
      <c r="B284" s="10" t="s">
        <v>428</v>
      </c>
      <c r="C284" s="10"/>
      <c r="D284" s="5">
        <f t="shared" si="47"/>
        <v>2</v>
      </c>
      <c r="E284" s="5" t="s">
        <v>26</v>
      </c>
      <c r="F284" s="20" t="s">
        <v>293</v>
      </c>
      <c r="G284" s="9" t="s">
        <v>37</v>
      </c>
      <c r="H284" s="9" t="s">
        <v>59</v>
      </c>
      <c r="I284" s="9" t="s">
        <v>55</v>
      </c>
      <c r="J284" s="9"/>
      <c r="K284" s="9" t="s">
        <v>31</v>
      </c>
      <c r="L284" s="9" t="s">
        <v>291</v>
      </c>
      <c r="M284" s="9" t="s">
        <v>61</v>
      </c>
      <c r="N284" s="13" t="s">
        <v>53</v>
      </c>
      <c r="O284" s="5">
        <v>2</v>
      </c>
      <c r="P284" s="5" t="s">
        <v>26</v>
      </c>
      <c r="Q284" s="10"/>
      <c r="R284" s="17"/>
      <c r="S284" s="17"/>
      <c r="T284" s="18">
        <v>181.8</v>
      </c>
      <c r="U284" s="18">
        <v>363.6</v>
      </c>
      <c r="V284" s="16"/>
      <c r="W284">
        <f t="shared" si="41"/>
        <v>227.25</v>
      </c>
      <c r="X284">
        <f t="shared" si="42"/>
        <v>454.5</v>
      </c>
      <c r="Y284">
        <f t="shared" si="43"/>
        <v>32.2340425531915</v>
      </c>
      <c r="Z284">
        <f t="shared" si="44"/>
        <v>64.468085106383</v>
      </c>
      <c r="AA284">
        <f t="shared" si="46"/>
        <v>0.014544</v>
      </c>
    </row>
    <row r="285" ht="69.6" spans="1:27">
      <c r="A285" s="10">
        <v>4</v>
      </c>
      <c r="B285" s="10" t="s">
        <v>428</v>
      </c>
      <c r="C285" s="10"/>
      <c r="D285" s="5">
        <f t="shared" si="47"/>
        <v>4</v>
      </c>
      <c r="E285" s="5" t="s">
        <v>26</v>
      </c>
      <c r="F285" s="20" t="s">
        <v>452</v>
      </c>
      <c r="G285" s="9" t="s">
        <v>37</v>
      </c>
      <c r="H285" s="9" t="s">
        <v>66</v>
      </c>
      <c r="I285" s="9" t="s">
        <v>67</v>
      </c>
      <c r="J285" s="9"/>
      <c r="K285" s="9" t="s">
        <v>31</v>
      </c>
      <c r="L285" s="9" t="s">
        <v>291</v>
      </c>
      <c r="M285" s="9" t="s">
        <v>433</v>
      </c>
      <c r="N285" s="13" t="s">
        <v>53</v>
      </c>
      <c r="O285" s="5">
        <v>4</v>
      </c>
      <c r="P285" s="5" t="s">
        <v>26</v>
      </c>
      <c r="Q285" s="10"/>
      <c r="R285" s="17"/>
      <c r="S285" s="17"/>
      <c r="T285" s="18">
        <v>611.611111111111</v>
      </c>
      <c r="U285" s="18">
        <v>2446.44444444444</v>
      </c>
      <c r="V285" s="16"/>
      <c r="W285">
        <f t="shared" si="41"/>
        <v>764.513888888889</v>
      </c>
      <c r="X285">
        <f t="shared" si="42"/>
        <v>3058.05555555555</v>
      </c>
      <c r="Y285">
        <f t="shared" si="43"/>
        <v>108.441686367218</v>
      </c>
      <c r="Z285">
        <f t="shared" si="44"/>
        <v>433.766745468873</v>
      </c>
      <c r="AA285">
        <f t="shared" si="46"/>
        <v>0.0978577777777776</v>
      </c>
    </row>
    <row r="286" ht="92.4" spans="1:27">
      <c r="A286" s="10">
        <v>13</v>
      </c>
      <c r="B286" s="10" t="s">
        <v>428</v>
      </c>
      <c r="C286" s="10"/>
      <c r="D286" s="5">
        <f t="shared" si="47"/>
        <v>13</v>
      </c>
      <c r="E286" s="5" t="s">
        <v>26</v>
      </c>
      <c r="F286" s="20" t="s">
        <v>453</v>
      </c>
      <c r="G286" s="9" t="s">
        <v>37</v>
      </c>
      <c r="H286" s="9" t="s">
        <v>74</v>
      </c>
      <c r="I286" s="9" t="s">
        <v>75</v>
      </c>
      <c r="J286" s="9"/>
      <c r="K286" s="9" t="s">
        <v>254</v>
      </c>
      <c r="L286" s="9" t="s">
        <v>288</v>
      </c>
      <c r="M286" s="9" t="s">
        <v>311</v>
      </c>
      <c r="N286" s="13" t="s">
        <v>53</v>
      </c>
      <c r="O286" s="5">
        <v>13</v>
      </c>
      <c r="P286" s="5" t="s">
        <v>26</v>
      </c>
      <c r="Q286" s="10"/>
      <c r="R286" s="17"/>
      <c r="S286" s="17"/>
      <c r="T286" s="18">
        <v>28.0555555555556</v>
      </c>
      <c r="U286" s="18">
        <v>364.722222222223</v>
      </c>
      <c r="V286" s="16"/>
      <c r="W286">
        <f t="shared" si="41"/>
        <v>35.0694444444445</v>
      </c>
      <c r="X286">
        <f t="shared" si="42"/>
        <v>455.902777777779</v>
      </c>
      <c r="Y286">
        <f t="shared" si="43"/>
        <v>4.97438928289993</v>
      </c>
      <c r="Z286">
        <f t="shared" si="44"/>
        <v>64.6670606776991</v>
      </c>
      <c r="AA286">
        <f t="shared" si="46"/>
        <v>0.0145888888888889</v>
      </c>
    </row>
    <row r="287" ht="50.4" spans="1:27">
      <c r="A287" s="10">
        <v>1</v>
      </c>
      <c r="B287" s="10" t="s">
        <v>428</v>
      </c>
      <c r="C287" s="10"/>
      <c r="D287" s="5">
        <f t="shared" si="47"/>
        <v>1</v>
      </c>
      <c r="E287" s="5" t="s">
        <v>26</v>
      </c>
      <c r="F287" s="20" t="s">
        <v>323</v>
      </c>
      <c r="G287" s="9" t="s">
        <v>93</v>
      </c>
      <c r="H287" s="9" t="s">
        <v>66</v>
      </c>
      <c r="I287" s="9"/>
      <c r="J287" s="9" t="s">
        <v>98</v>
      </c>
      <c r="K287" s="9" t="s">
        <v>319</v>
      </c>
      <c r="L287" s="9" t="s">
        <v>316</v>
      </c>
      <c r="M287" s="9" t="s">
        <v>271</v>
      </c>
      <c r="N287" s="13" t="s">
        <v>53</v>
      </c>
      <c r="O287" s="5">
        <v>1</v>
      </c>
      <c r="P287" s="5" t="s">
        <v>26</v>
      </c>
      <c r="Q287" s="10"/>
      <c r="R287" s="17"/>
      <c r="S287" s="17"/>
      <c r="T287" s="18">
        <v>999.9</v>
      </c>
      <c r="U287" s="18">
        <v>999.9</v>
      </c>
      <c r="V287" s="16"/>
      <c r="W287">
        <f t="shared" si="41"/>
        <v>1249.875</v>
      </c>
      <c r="X287">
        <f t="shared" si="42"/>
        <v>1249.875</v>
      </c>
      <c r="Y287">
        <f t="shared" si="43"/>
        <v>177.287234042553</v>
      </c>
      <c r="Z287">
        <f t="shared" si="44"/>
        <v>177.287234042553</v>
      </c>
      <c r="AA287">
        <f t="shared" si="46"/>
        <v>0.039996</v>
      </c>
    </row>
    <row r="288" ht="69.6" spans="1:27">
      <c r="A288" s="10">
        <v>12</v>
      </c>
      <c r="B288" s="10" t="s">
        <v>428</v>
      </c>
      <c r="C288" s="10"/>
      <c r="D288" s="5">
        <f t="shared" si="47"/>
        <v>12</v>
      </c>
      <c r="E288" s="5" t="s">
        <v>26</v>
      </c>
      <c r="F288" s="20" t="s">
        <v>326</v>
      </c>
      <c r="G288" s="9" t="s">
        <v>102</v>
      </c>
      <c r="H288" s="9" t="s">
        <v>196</v>
      </c>
      <c r="I288" s="9" t="s">
        <v>108</v>
      </c>
      <c r="J288" s="9"/>
      <c r="K288" s="9" t="s">
        <v>31</v>
      </c>
      <c r="L288" s="9" t="s">
        <v>291</v>
      </c>
      <c r="M288" s="9" t="s">
        <v>442</v>
      </c>
      <c r="N288" s="13" t="s">
        <v>53</v>
      </c>
      <c r="O288" s="5">
        <v>12</v>
      </c>
      <c r="P288" s="5" t="s">
        <v>26</v>
      </c>
      <c r="Q288" s="10"/>
      <c r="R288" s="17"/>
      <c r="S288" s="17"/>
      <c r="T288" s="18">
        <v>65.0888888888889</v>
      </c>
      <c r="U288" s="18">
        <v>781.066666666667</v>
      </c>
      <c r="V288" s="16"/>
      <c r="W288">
        <f t="shared" si="41"/>
        <v>81.3611111111111</v>
      </c>
      <c r="X288">
        <f t="shared" si="42"/>
        <v>976.333333333333</v>
      </c>
      <c r="Y288">
        <f t="shared" si="43"/>
        <v>11.5405831363278</v>
      </c>
      <c r="Z288">
        <f t="shared" si="44"/>
        <v>138.486997635934</v>
      </c>
      <c r="AA288">
        <f t="shared" si="46"/>
        <v>0.0312426666666667</v>
      </c>
    </row>
    <row r="289" ht="50.4" spans="1:27">
      <c r="A289" s="10">
        <v>9</v>
      </c>
      <c r="B289" s="10" t="s">
        <v>428</v>
      </c>
      <c r="C289" s="10"/>
      <c r="D289" s="5">
        <f t="shared" si="47"/>
        <v>9</v>
      </c>
      <c r="E289" s="5" t="s">
        <v>26</v>
      </c>
      <c r="F289" s="20" t="s">
        <v>332</v>
      </c>
      <c r="G289" s="9" t="s">
        <v>39</v>
      </c>
      <c r="H289" s="9" t="s">
        <v>57</v>
      </c>
      <c r="I289" s="9" t="s">
        <v>55</v>
      </c>
      <c r="J289" s="9"/>
      <c r="K289" s="9" t="s">
        <v>31</v>
      </c>
      <c r="L289" s="9" t="s">
        <v>291</v>
      </c>
      <c r="M289" s="9" t="s">
        <v>142</v>
      </c>
      <c r="N289" s="13" t="s">
        <v>53</v>
      </c>
      <c r="O289" s="5">
        <v>9</v>
      </c>
      <c r="P289" s="5" t="s">
        <v>26</v>
      </c>
      <c r="Q289" s="10"/>
      <c r="R289" s="17"/>
      <c r="S289" s="17"/>
      <c r="T289" s="18">
        <v>157.111111111111</v>
      </c>
      <c r="U289" s="18">
        <v>1414</v>
      </c>
      <c r="V289" s="16"/>
      <c r="W289">
        <f t="shared" si="41"/>
        <v>196.388888888889</v>
      </c>
      <c r="X289">
        <f t="shared" si="42"/>
        <v>1767.5</v>
      </c>
      <c r="Y289">
        <f t="shared" si="43"/>
        <v>27.8565799842395</v>
      </c>
      <c r="Z289">
        <f t="shared" si="44"/>
        <v>250.709219858156</v>
      </c>
      <c r="AA289">
        <f t="shared" si="46"/>
        <v>0.05656</v>
      </c>
    </row>
    <row r="290" ht="69.6" spans="1:27">
      <c r="A290" s="10">
        <v>76</v>
      </c>
      <c r="B290" s="10" t="s">
        <v>428</v>
      </c>
      <c r="C290" s="10"/>
      <c r="D290" s="5">
        <f t="shared" si="47"/>
        <v>76</v>
      </c>
      <c r="E290" s="5" t="s">
        <v>26</v>
      </c>
      <c r="F290" s="20" t="s">
        <v>340</v>
      </c>
      <c r="G290" s="9" t="s">
        <v>150</v>
      </c>
      <c r="H290" s="9" t="s">
        <v>196</v>
      </c>
      <c r="I290" s="9" t="s">
        <v>108</v>
      </c>
      <c r="J290" s="9"/>
      <c r="K290" s="9" t="s">
        <v>31</v>
      </c>
      <c r="L290" s="9" t="s">
        <v>291</v>
      </c>
      <c r="M290" s="9" t="s">
        <v>439</v>
      </c>
      <c r="N290" s="13" t="s">
        <v>53</v>
      </c>
      <c r="O290" s="5">
        <v>76</v>
      </c>
      <c r="P290" s="5" t="s">
        <v>26</v>
      </c>
      <c r="Q290" s="10"/>
      <c r="R290" s="17"/>
      <c r="S290" s="17"/>
      <c r="T290" s="18">
        <v>145.888888888889</v>
      </c>
      <c r="U290" s="18">
        <v>11087.5555555556</v>
      </c>
      <c r="V290" s="16"/>
      <c r="W290">
        <f t="shared" si="41"/>
        <v>182.361111111111</v>
      </c>
      <c r="X290">
        <f t="shared" si="42"/>
        <v>13859.4444444445</v>
      </c>
      <c r="Y290">
        <f t="shared" si="43"/>
        <v>25.8668242710796</v>
      </c>
      <c r="Z290">
        <f t="shared" si="44"/>
        <v>1965.87864460205</v>
      </c>
      <c r="AA290">
        <f t="shared" si="46"/>
        <v>0.443502222222224</v>
      </c>
    </row>
    <row r="291" ht="50.4" spans="1:27">
      <c r="A291" s="10">
        <v>1</v>
      </c>
      <c r="B291" s="10" t="s">
        <v>428</v>
      </c>
      <c r="C291" s="10"/>
      <c r="D291" s="5">
        <f t="shared" si="47"/>
        <v>1</v>
      </c>
      <c r="E291" s="5" t="s">
        <v>26</v>
      </c>
      <c r="F291" s="20" t="s">
        <v>352</v>
      </c>
      <c r="G291" s="9" t="s">
        <v>42</v>
      </c>
      <c r="H291" s="9" t="s">
        <v>66</v>
      </c>
      <c r="I291" s="9" t="s">
        <v>67</v>
      </c>
      <c r="J291" s="9" t="s">
        <v>98</v>
      </c>
      <c r="K291" s="9" t="s">
        <v>44</v>
      </c>
      <c r="L291" s="9" t="s">
        <v>288</v>
      </c>
      <c r="M291" s="9" t="s">
        <v>171</v>
      </c>
      <c r="N291" s="13" t="s">
        <v>53</v>
      </c>
      <c r="O291" s="5">
        <v>1</v>
      </c>
      <c r="P291" s="5" t="s">
        <v>26</v>
      </c>
      <c r="Q291" s="10"/>
      <c r="R291" s="17"/>
      <c r="S291" s="17"/>
      <c r="T291" s="18">
        <v>754.47</v>
      </c>
      <c r="U291" s="18">
        <v>754.47</v>
      </c>
      <c r="V291" s="16"/>
      <c r="W291">
        <f t="shared" si="41"/>
        <v>943.0875</v>
      </c>
      <c r="X291">
        <f t="shared" si="42"/>
        <v>943.0875</v>
      </c>
      <c r="Y291">
        <f t="shared" si="43"/>
        <v>133.771276595745</v>
      </c>
      <c r="Z291">
        <f t="shared" si="44"/>
        <v>133.771276595745</v>
      </c>
      <c r="AA291">
        <f t="shared" si="46"/>
        <v>0.0301788</v>
      </c>
    </row>
    <row r="292" ht="88.8" spans="1:27">
      <c r="A292" s="5">
        <v>1</v>
      </c>
      <c r="B292" s="5" t="s">
        <v>428</v>
      </c>
      <c r="C292" s="5"/>
      <c r="D292" s="5">
        <f t="shared" si="47"/>
        <v>1</v>
      </c>
      <c r="E292" s="5" t="s">
        <v>26</v>
      </c>
      <c r="F292" s="6" t="s">
        <v>354</v>
      </c>
      <c r="G292" s="9" t="s">
        <v>122</v>
      </c>
      <c r="H292" s="9" t="s">
        <v>196</v>
      </c>
      <c r="I292" s="9" t="s">
        <v>108</v>
      </c>
      <c r="J292" s="9"/>
      <c r="K292" s="9" t="s">
        <v>31</v>
      </c>
      <c r="L292" s="9" t="s">
        <v>291</v>
      </c>
      <c r="M292" s="9" t="s">
        <v>436</v>
      </c>
      <c r="N292" s="13" t="s">
        <v>53</v>
      </c>
      <c r="O292" s="5">
        <v>1</v>
      </c>
      <c r="P292" s="5" t="s">
        <v>26</v>
      </c>
      <c r="Q292" s="19"/>
      <c r="R292" s="17"/>
      <c r="S292" s="17"/>
      <c r="T292" s="18">
        <v>80.8</v>
      </c>
      <c r="U292" s="18">
        <v>80.8</v>
      </c>
      <c r="V292" s="16"/>
      <c r="W292">
        <f t="shared" si="41"/>
        <v>101</v>
      </c>
      <c r="X292">
        <f t="shared" si="42"/>
        <v>101</v>
      </c>
      <c r="Y292">
        <f t="shared" si="43"/>
        <v>14.3262411347518</v>
      </c>
      <c r="Z292">
        <f t="shared" si="44"/>
        <v>14.3262411347518</v>
      </c>
      <c r="AA292">
        <f t="shared" si="46"/>
        <v>0.003232</v>
      </c>
    </row>
    <row r="293" ht="69.6" spans="1:27">
      <c r="A293" s="5">
        <v>79</v>
      </c>
      <c r="B293" s="5" t="s">
        <v>428</v>
      </c>
      <c r="C293" s="5"/>
      <c r="D293" s="5">
        <f t="shared" si="47"/>
        <v>79</v>
      </c>
      <c r="E293" s="5" t="s">
        <v>26</v>
      </c>
      <c r="F293" s="6" t="s">
        <v>356</v>
      </c>
      <c r="G293" s="9" t="s">
        <v>28</v>
      </c>
      <c r="H293" s="9" t="s">
        <v>74</v>
      </c>
      <c r="I293" s="9" t="s">
        <v>75</v>
      </c>
      <c r="J293" s="9"/>
      <c r="K293" s="9" t="s">
        <v>254</v>
      </c>
      <c r="L293" s="9" t="s">
        <v>288</v>
      </c>
      <c r="M293" s="9" t="s">
        <v>441</v>
      </c>
      <c r="N293" s="13" t="s">
        <v>53</v>
      </c>
      <c r="O293" s="5">
        <v>79</v>
      </c>
      <c r="P293" s="5" t="s">
        <v>26</v>
      </c>
      <c r="Q293" s="19"/>
      <c r="R293" s="17"/>
      <c r="S293" s="17"/>
      <c r="T293" s="18">
        <v>50.5</v>
      </c>
      <c r="U293" s="18">
        <v>3989.5</v>
      </c>
      <c r="V293" s="16"/>
      <c r="W293">
        <f t="shared" si="41"/>
        <v>63.125</v>
      </c>
      <c r="X293">
        <f t="shared" si="42"/>
        <v>4986.875</v>
      </c>
      <c r="Y293">
        <f t="shared" si="43"/>
        <v>8.95390070921986</v>
      </c>
      <c r="Z293">
        <f t="shared" si="44"/>
        <v>707.358156028369</v>
      </c>
      <c r="AA293">
        <f t="shared" si="46"/>
        <v>0.15958</v>
      </c>
    </row>
    <row r="294" ht="50.4" spans="1:27">
      <c r="A294" s="10">
        <v>127</v>
      </c>
      <c r="B294" s="5" t="s">
        <v>428</v>
      </c>
      <c r="C294" s="5"/>
      <c r="D294" s="5">
        <f t="shared" si="47"/>
        <v>127</v>
      </c>
      <c r="E294" s="5" t="s">
        <v>26</v>
      </c>
      <c r="F294" s="20" t="s">
        <v>297</v>
      </c>
      <c r="G294" s="9" t="s">
        <v>42</v>
      </c>
      <c r="H294" s="9" t="s">
        <v>59</v>
      </c>
      <c r="I294" s="9" t="s">
        <v>55</v>
      </c>
      <c r="J294" s="9" t="s">
        <v>98</v>
      </c>
      <c r="K294" s="9" t="s">
        <v>44</v>
      </c>
      <c r="L294" s="9" t="s">
        <v>288</v>
      </c>
      <c r="M294" s="9" t="s">
        <v>171</v>
      </c>
      <c r="N294" s="13" t="s">
        <v>53</v>
      </c>
      <c r="O294" s="5">
        <v>127</v>
      </c>
      <c r="P294" s="5" t="s">
        <v>26</v>
      </c>
      <c r="Q294" s="5"/>
      <c r="R294" s="17"/>
      <c r="S294" s="17"/>
      <c r="T294" s="18">
        <v>354.51</v>
      </c>
      <c r="U294" s="18">
        <v>45022.77</v>
      </c>
      <c r="V294" s="16"/>
      <c r="W294">
        <f t="shared" si="41"/>
        <v>443.1375</v>
      </c>
      <c r="X294">
        <f t="shared" si="42"/>
        <v>56278.4625</v>
      </c>
      <c r="Y294">
        <f t="shared" si="43"/>
        <v>62.8563829787234</v>
      </c>
      <c r="Z294">
        <f t="shared" si="44"/>
        <v>7982.76063829787</v>
      </c>
      <c r="AA294">
        <f t="shared" si="46"/>
        <v>1.8009108</v>
      </c>
    </row>
    <row r="295" ht="88.8" spans="1:27">
      <c r="A295" s="5">
        <v>2</v>
      </c>
      <c r="B295" s="5" t="s">
        <v>428</v>
      </c>
      <c r="C295" s="5"/>
      <c r="D295" s="5">
        <f t="shared" ref="D295:D323" si="48">A295</f>
        <v>2</v>
      </c>
      <c r="E295" s="5" t="s">
        <v>26</v>
      </c>
      <c r="F295" s="6" t="s">
        <v>359</v>
      </c>
      <c r="G295" s="9" t="s">
        <v>162</v>
      </c>
      <c r="H295" s="9" t="s">
        <v>236</v>
      </c>
      <c r="I295" s="9"/>
      <c r="J295" s="9" t="s">
        <v>94</v>
      </c>
      <c r="K295" s="9" t="s">
        <v>99</v>
      </c>
      <c r="L295" s="9" t="s">
        <v>288</v>
      </c>
      <c r="M295" s="9" t="s">
        <v>440</v>
      </c>
      <c r="N295" s="13" t="s">
        <v>53</v>
      </c>
      <c r="O295" s="5">
        <v>2</v>
      </c>
      <c r="P295" s="5" t="s">
        <v>26</v>
      </c>
      <c r="Q295" s="19"/>
      <c r="R295" s="17"/>
      <c r="S295" s="17"/>
      <c r="T295" s="18">
        <v>151.5</v>
      </c>
      <c r="U295" s="18">
        <v>303</v>
      </c>
      <c r="V295" s="16"/>
      <c r="W295">
        <f t="shared" si="41"/>
        <v>189.375</v>
      </c>
      <c r="X295">
        <f t="shared" si="42"/>
        <v>378.75</v>
      </c>
      <c r="Y295">
        <f t="shared" si="43"/>
        <v>26.8617021276596</v>
      </c>
      <c r="Z295">
        <f t="shared" si="44"/>
        <v>53.7234042553192</v>
      </c>
      <c r="AA295">
        <f t="shared" si="46"/>
        <v>0.01212</v>
      </c>
    </row>
    <row r="296" ht="66" spans="1:27">
      <c r="A296" s="5">
        <v>1</v>
      </c>
      <c r="B296" s="5" t="s">
        <v>428</v>
      </c>
      <c r="C296" s="5"/>
      <c r="D296" s="5">
        <f t="shared" si="48"/>
        <v>1</v>
      </c>
      <c r="E296" s="5" t="s">
        <v>26</v>
      </c>
      <c r="F296" s="6" t="s">
        <v>360</v>
      </c>
      <c r="G296" s="9" t="s">
        <v>42</v>
      </c>
      <c r="H296" s="9" t="s">
        <v>57</v>
      </c>
      <c r="I296" s="9" t="s">
        <v>55</v>
      </c>
      <c r="J296" s="9" t="s">
        <v>98</v>
      </c>
      <c r="K296" s="9" t="s">
        <v>99</v>
      </c>
      <c r="L296" s="9" t="s">
        <v>288</v>
      </c>
      <c r="M296" s="9" t="s">
        <v>361</v>
      </c>
      <c r="N296" s="13" t="s">
        <v>53</v>
      </c>
      <c r="O296" s="5">
        <v>1</v>
      </c>
      <c r="P296" s="5" t="s">
        <v>26</v>
      </c>
      <c r="Q296" s="19"/>
      <c r="R296" s="17"/>
      <c r="S296" s="17"/>
      <c r="T296" s="18">
        <v>275.73</v>
      </c>
      <c r="U296" s="18">
        <v>275.73</v>
      </c>
      <c r="V296" s="16"/>
      <c r="W296">
        <f t="shared" si="41"/>
        <v>344.6625</v>
      </c>
      <c r="X296">
        <f t="shared" si="42"/>
        <v>344.6625</v>
      </c>
      <c r="Y296">
        <f t="shared" si="43"/>
        <v>48.8882978723404</v>
      </c>
      <c r="Z296">
        <f t="shared" si="44"/>
        <v>48.8882978723404</v>
      </c>
      <c r="AA296">
        <f t="shared" si="46"/>
        <v>0.0110292</v>
      </c>
    </row>
    <row r="297" ht="66" spans="1:27">
      <c r="A297" s="5">
        <v>2</v>
      </c>
      <c r="B297" s="5" t="s">
        <v>428</v>
      </c>
      <c r="C297" s="5"/>
      <c r="D297" s="5">
        <f t="shared" si="48"/>
        <v>2</v>
      </c>
      <c r="E297" s="5" t="s">
        <v>26</v>
      </c>
      <c r="F297" s="6" t="s">
        <v>362</v>
      </c>
      <c r="G297" s="9" t="s">
        <v>42</v>
      </c>
      <c r="H297" s="9" t="s">
        <v>74</v>
      </c>
      <c r="I297" s="9" t="s">
        <v>75</v>
      </c>
      <c r="J297" s="9" t="s">
        <v>94</v>
      </c>
      <c r="K297" s="9" t="s">
        <v>99</v>
      </c>
      <c r="L297" s="9" t="s">
        <v>288</v>
      </c>
      <c r="M297" s="9" t="s">
        <v>363</v>
      </c>
      <c r="N297" s="13" t="s">
        <v>53</v>
      </c>
      <c r="O297" s="5">
        <v>2</v>
      </c>
      <c r="P297" s="5" t="s">
        <v>26</v>
      </c>
      <c r="Q297" s="19"/>
      <c r="R297" s="17"/>
      <c r="S297" s="17"/>
      <c r="T297" s="18">
        <v>151.5</v>
      </c>
      <c r="U297" s="18">
        <v>303</v>
      </c>
      <c r="V297" s="16"/>
      <c r="W297">
        <f t="shared" si="41"/>
        <v>189.375</v>
      </c>
      <c r="X297">
        <f t="shared" si="42"/>
        <v>378.75</v>
      </c>
      <c r="Y297">
        <f t="shared" si="43"/>
        <v>26.8617021276596</v>
      </c>
      <c r="Z297">
        <f t="shared" si="44"/>
        <v>53.7234042553192</v>
      </c>
      <c r="AA297">
        <f t="shared" si="46"/>
        <v>0.01212</v>
      </c>
    </row>
    <row r="298" ht="104.4" spans="1:27">
      <c r="A298" s="21">
        <v>20</v>
      </c>
      <c r="B298" s="10" t="s">
        <v>26</v>
      </c>
      <c r="C298" s="10"/>
      <c r="D298" s="5">
        <f t="shared" si="48"/>
        <v>20</v>
      </c>
      <c r="E298" s="5" t="s">
        <v>26</v>
      </c>
      <c r="F298" s="20" t="s">
        <v>371</v>
      </c>
      <c r="G298" s="9" t="s">
        <v>42</v>
      </c>
      <c r="H298" s="9" t="s">
        <v>29</v>
      </c>
      <c r="I298" s="9" t="s">
        <v>55</v>
      </c>
      <c r="J298" s="9" t="s">
        <v>98</v>
      </c>
      <c r="K298" s="9" t="s">
        <v>44</v>
      </c>
      <c r="L298" s="9" t="s">
        <v>95</v>
      </c>
      <c r="M298" s="9" t="s">
        <v>372</v>
      </c>
      <c r="N298" s="22" t="s">
        <v>366</v>
      </c>
      <c r="O298" s="5">
        <v>20</v>
      </c>
      <c r="P298" s="5" t="s">
        <v>26</v>
      </c>
      <c r="Q298" s="10"/>
      <c r="R298" s="17"/>
      <c r="S298" s="17"/>
      <c r="T298" s="18">
        <v>125.24</v>
      </c>
      <c r="U298" s="18">
        <v>2504.8</v>
      </c>
      <c r="V298" s="16"/>
      <c r="W298">
        <f t="shared" si="41"/>
        <v>156.55</v>
      </c>
      <c r="X298">
        <f t="shared" si="42"/>
        <v>3131</v>
      </c>
      <c r="Y298">
        <f t="shared" si="43"/>
        <v>22.2056737588652</v>
      </c>
      <c r="Z298">
        <f t="shared" si="44"/>
        <v>444.113475177305</v>
      </c>
      <c r="AA298">
        <f t="shared" si="46"/>
        <v>0.100192</v>
      </c>
    </row>
    <row r="299" ht="76.8" spans="1:27">
      <c r="A299" s="21">
        <v>15</v>
      </c>
      <c r="B299" s="10" t="s">
        <v>26</v>
      </c>
      <c r="C299" s="10"/>
      <c r="D299" s="5">
        <f t="shared" si="48"/>
        <v>15</v>
      </c>
      <c r="E299" s="5" t="s">
        <v>26</v>
      </c>
      <c r="F299" s="20" t="s">
        <v>375</v>
      </c>
      <c r="G299" s="9" t="s">
        <v>37</v>
      </c>
      <c r="H299" s="9" t="s">
        <v>72</v>
      </c>
      <c r="I299" s="9" t="s">
        <v>64</v>
      </c>
      <c r="J299" s="9"/>
      <c r="K299" s="9" t="s">
        <v>31</v>
      </c>
      <c r="L299" s="9" t="s">
        <v>60</v>
      </c>
      <c r="M299" s="9" t="s">
        <v>244</v>
      </c>
      <c r="N299" s="22" t="s">
        <v>366</v>
      </c>
      <c r="O299" s="5">
        <v>15</v>
      </c>
      <c r="P299" s="5" t="s">
        <v>26</v>
      </c>
      <c r="Q299" s="10"/>
      <c r="R299" s="17"/>
      <c r="S299" s="17"/>
      <c r="T299" s="18">
        <v>14.5888888888889</v>
      </c>
      <c r="U299" s="18">
        <v>218.833333333333</v>
      </c>
      <c r="V299" s="16"/>
      <c r="W299">
        <f t="shared" si="41"/>
        <v>18.2361111111111</v>
      </c>
      <c r="X299">
        <f t="shared" si="42"/>
        <v>273.541666666667</v>
      </c>
      <c r="Y299">
        <f t="shared" si="43"/>
        <v>2.58668242710796</v>
      </c>
      <c r="Z299">
        <f t="shared" si="44"/>
        <v>38.8002364066194</v>
      </c>
      <c r="AA299">
        <f t="shared" si="46"/>
        <v>0.00875333333333332</v>
      </c>
    </row>
    <row r="300" ht="54" spans="1:27">
      <c r="A300" s="21">
        <v>53</v>
      </c>
      <c r="B300" s="10" t="s">
        <v>26</v>
      </c>
      <c r="C300" s="10"/>
      <c r="D300" s="5">
        <f t="shared" si="48"/>
        <v>53</v>
      </c>
      <c r="E300" s="5" t="s">
        <v>26</v>
      </c>
      <c r="F300" s="20" t="s">
        <v>378</v>
      </c>
      <c r="G300" s="9" t="s">
        <v>37</v>
      </c>
      <c r="H300" s="9" t="s">
        <v>29</v>
      </c>
      <c r="I300" s="9" t="s">
        <v>55</v>
      </c>
      <c r="J300" s="9"/>
      <c r="K300" s="9" t="s">
        <v>31</v>
      </c>
      <c r="L300" s="9" t="s">
        <v>60</v>
      </c>
      <c r="M300" s="9" t="s">
        <v>61</v>
      </c>
      <c r="N300" s="22" t="s">
        <v>366</v>
      </c>
      <c r="O300" s="5">
        <v>53</v>
      </c>
      <c r="P300" s="5" t="s">
        <v>26</v>
      </c>
      <c r="Q300" s="10"/>
      <c r="R300" s="17"/>
      <c r="S300" s="17"/>
      <c r="T300" s="18">
        <v>32.5444444444444</v>
      </c>
      <c r="U300" s="18">
        <v>1724.85555555555</v>
      </c>
      <c r="V300" s="16"/>
      <c r="W300">
        <f t="shared" si="41"/>
        <v>40.6805555555555</v>
      </c>
      <c r="X300">
        <f t="shared" si="42"/>
        <v>2156.06944444444</v>
      </c>
      <c r="Y300">
        <f t="shared" si="43"/>
        <v>5.7702915681639</v>
      </c>
      <c r="Z300">
        <f t="shared" si="44"/>
        <v>305.825453112687</v>
      </c>
      <c r="AA300">
        <f t="shared" si="46"/>
        <v>0.068994222222222</v>
      </c>
    </row>
    <row r="301" ht="54" spans="1:27">
      <c r="A301" s="21">
        <v>1</v>
      </c>
      <c r="B301" s="10" t="s">
        <v>26</v>
      </c>
      <c r="C301" s="10"/>
      <c r="D301" s="5">
        <f t="shared" si="48"/>
        <v>1</v>
      </c>
      <c r="E301" s="5" t="s">
        <v>26</v>
      </c>
      <c r="F301" s="20" t="s">
        <v>381</v>
      </c>
      <c r="G301" s="9" t="s">
        <v>39</v>
      </c>
      <c r="H301" s="9" t="s">
        <v>72</v>
      </c>
      <c r="I301" s="9" t="s">
        <v>64</v>
      </c>
      <c r="J301" s="9"/>
      <c r="K301" s="9" t="s">
        <v>31</v>
      </c>
      <c r="L301" s="9" t="s">
        <v>60</v>
      </c>
      <c r="M301" s="9" t="s">
        <v>142</v>
      </c>
      <c r="N301" s="22" t="s">
        <v>366</v>
      </c>
      <c r="O301" s="5">
        <v>1</v>
      </c>
      <c r="P301" s="5" t="s">
        <v>26</v>
      </c>
      <c r="Q301" s="10"/>
      <c r="R301" s="17"/>
      <c r="S301" s="17"/>
      <c r="T301" s="18">
        <v>35.9111111111111</v>
      </c>
      <c r="U301" s="18">
        <v>35.9111111111111</v>
      </c>
      <c r="V301" s="16"/>
      <c r="W301">
        <f t="shared" si="41"/>
        <v>44.8888888888889</v>
      </c>
      <c r="X301">
        <f t="shared" si="42"/>
        <v>44.8888888888889</v>
      </c>
      <c r="Y301">
        <f t="shared" si="43"/>
        <v>6.3672182821119</v>
      </c>
      <c r="Z301">
        <f t="shared" si="44"/>
        <v>6.3672182821119</v>
      </c>
      <c r="AA301">
        <f t="shared" si="46"/>
        <v>0.00143644444444444</v>
      </c>
    </row>
    <row r="302" ht="54" spans="1:27">
      <c r="A302" s="21">
        <v>18</v>
      </c>
      <c r="B302" s="10" t="s">
        <v>26</v>
      </c>
      <c r="C302" s="10"/>
      <c r="D302" s="5">
        <f t="shared" si="48"/>
        <v>18</v>
      </c>
      <c r="E302" s="5" t="s">
        <v>26</v>
      </c>
      <c r="F302" s="20" t="s">
        <v>382</v>
      </c>
      <c r="G302" s="9" t="s">
        <v>39</v>
      </c>
      <c r="H302" s="9" t="s">
        <v>29</v>
      </c>
      <c r="I302" s="9" t="s">
        <v>55</v>
      </c>
      <c r="J302" s="9"/>
      <c r="K302" s="9" t="s">
        <v>31</v>
      </c>
      <c r="L302" s="9" t="s">
        <v>60</v>
      </c>
      <c r="M302" s="9" t="s">
        <v>142</v>
      </c>
      <c r="N302" s="22" t="s">
        <v>366</v>
      </c>
      <c r="O302" s="5">
        <v>18</v>
      </c>
      <c r="P302" s="5" t="s">
        <v>26</v>
      </c>
      <c r="Q302" s="10"/>
      <c r="R302" s="17"/>
      <c r="S302" s="17"/>
      <c r="T302" s="18">
        <v>57.2333333333333</v>
      </c>
      <c r="U302" s="18">
        <v>1030.2</v>
      </c>
      <c r="V302" s="16"/>
      <c r="W302">
        <f t="shared" si="41"/>
        <v>71.5416666666666</v>
      </c>
      <c r="X302">
        <f t="shared" si="42"/>
        <v>1287.75</v>
      </c>
      <c r="Y302">
        <f t="shared" si="43"/>
        <v>10.1477541371158</v>
      </c>
      <c r="Z302">
        <f t="shared" si="44"/>
        <v>182.659574468085</v>
      </c>
      <c r="AA302">
        <f t="shared" si="46"/>
        <v>0.041208</v>
      </c>
    </row>
    <row r="303" ht="54" spans="1:27">
      <c r="A303" s="21">
        <v>2</v>
      </c>
      <c r="B303" s="10" t="s">
        <v>26</v>
      </c>
      <c r="C303" s="10"/>
      <c r="D303" s="5">
        <f t="shared" si="48"/>
        <v>2</v>
      </c>
      <c r="E303" s="5" t="s">
        <v>26</v>
      </c>
      <c r="F303" s="20" t="s">
        <v>387</v>
      </c>
      <c r="G303" s="9" t="s">
        <v>28</v>
      </c>
      <c r="H303" s="9" t="s">
        <v>72</v>
      </c>
      <c r="I303" s="9" t="s">
        <v>64</v>
      </c>
      <c r="J303" s="9"/>
      <c r="K303" s="9" t="s">
        <v>31</v>
      </c>
      <c r="L303" s="9" t="s">
        <v>60</v>
      </c>
      <c r="M303" s="9" t="s">
        <v>61</v>
      </c>
      <c r="N303" s="22" t="s">
        <v>366</v>
      </c>
      <c r="O303" s="5">
        <v>2</v>
      </c>
      <c r="P303" s="5" t="s">
        <v>26</v>
      </c>
      <c r="Q303" s="10"/>
      <c r="R303" s="17"/>
      <c r="S303" s="17"/>
      <c r="T303" s="18">
        <v>14.5888888888889</v>
      </c>
      <c r="U303" s="18">
        <v>29.1777777777778</v>
      </c>
      <c r="V303" s="16"/>
      <c r="W303">
        <f t="shared" si="41"/>
        <v>18.2361111111111</v>
      </c>
      <c r="X303">
        <f t="shared" si="42"/>
        <v>36.4722222222222</v>
      </c>
      <c r="Y303">
        <f t="shared" si="43"/>
        <v>2.58668242710796</v>
      </c>
      <c r="Z303">
        <f t="shared" si="44"/>
        <v>5.17336485421592</v>
      </c>
      <c r="AA303">
        <f t="shared" si="46"/>
        <v>0.00116711111111111</v>
      </c>
    </row>
    <row r="304" ht="54" spans="1:27">
      <c r="A304" s="21">
        <v>130</v>
      </c>
      <c r="B304" s="10" t="s">
        <v>26</v>
      </c>
      <c r="C304" s="10"/>
      <c r="D304" s="5">
        <f t="shared" si="48"/>
        <v>130</v>
      </c>
      <c r="E304" s="5" t="s">
        <v>26</v>
      </c>
      <c r="F304" s="20" t="s">
        <v>388</v>
      </c>
      <c r="G304" s="9" t="s">
        <v>37</v>
      </c>
      <c r="H304" s="9" t="s">
        <v>69</v>
      </c>
      <c r="I304" s="9" t="s">
        <v>64</v>
      </c>
      <c r="J304" s="9"/>
      <c r="K304" s="9" t="s">
        <v>31</v>
      </c>
      <c r="L304" s="9" t="s">
        <v>60</v>
      </c>
      <c r="M304" s="9" t="s">
        <v>61</v>
      </c>
      <c r="N304" s="22" t="s">
        <v>366</v>
      </c>
      <c r="O304" s="5">
        <v>130</v>
      </c>
      <c r="P304" s="5" t="s">
        <v>26</v>
      </c>
      <c r="Q304" s="10"/>
      <c r="R304" s="17"/>
      <c r="S304" s="17"/>
      <c r="T304" s="18">
        <v>11.2222222222222</v>
      </c>
      <c r="U304" s="18">
        <v>1458.88888888889</v>
      </c>
      <c r="V304" s="16"/>
      <c r="W304">
        <f t="shared" si="41"/>
        <v>14.0277777777778</v>
      </c>
      <c r="X304">
        <f t="shared" si="42"/>
        <v>1823.61111111111</v>
      </c>
      <c r="Y304">
        <f t="shared" si="43"/>
        <v>1.98975571315996</v>
      </c>
      <c r="Z304">
        <f t="shared" si="44"/>
        <v>258.668242710795</v>
      </c>
      <c r="AA304">
        <f t="shared" si="46"/>
        <v>0.0583555555555556</v>
      </c>
    </row>
    <row r="305" ht="54" spans="1:27">
      <c r="A305" s="21">
        <v>17</v>
      </c>
      <c r="B305" s="10" t="s">
        <v>26</v>
      </c>
      <c r="C305" s="10"/>
      <c r="D305" s="5">
        <f t="shared" si="48"/>
        <v>17</v>
      </c>
      <c r="E305" s="5" t="s">
        <v>26</v>
      </c>
      <c r="F305" s="20" t="s">
        <v>389</v>
      </c>
      <c r="G305" s="9" t="s">
        <v>150</v>
      </c>
      <c r="H305" s="9" t="s">
        <v>123</v>
      </c>
      <c r="I305" s="9" t="s">
        <v>114</v>
      </c>
      <c r="J305" s="9"/>
      <c r="K305" s="9" t="s">
        <v>31</v>
      </c>
      <c r="L305" s="9" t="s">
        <v>60</v>
      </c>
      <c r="M305" s="9" t="s">
        <v>342</v>
      </c>
      <c r="N305" s="22" t="s">
        <v>366</v>
      </c>
      <c r="O305" s="5">
        <v>17</v>
      </c>
      <c r="P305" s="5" t="s">
        <v>26</v>
      </c>
      <c r="Q305" s="10"/>
      <c r="R305" s="17"/>
      <c r="S305" s="17"/>
      <c r="T305" s="18">
        <v>35.9111111111111</v>
      </c>
      <c r="U305" s="18">
        <v>610.488888888889</v>
      </c>
      <c r="V305" s="16"/>
      <c r="W305">
        <f t="shared" si="41"/>
        <v>44.8888888888889</v>
      </c>
      <c r="X305">
        <f t="shared" si="42"/>
        <v>763.111111111111</v>
      </c>
      <c r="Y305">
        <f t="shared" si="43"/>
        <v>6.3672182821119</v>
      </c>
      <c r="Z305">
        <f t="shared" si="44"/>
        <v>108.242710795902</v>
      </c>
      <c r="AA305">
        <f t="shared" si="46"/>
        <v>0.0244195555555556</v>
      </c>
    </row>
    <row r="306" ht="108" spans="1:27">
      <c r="A306" s="5">
        <v>10</v>
      </c>
      <c r="B306" s="10" t="s">
        <v>26</v>
      </c>
      <c r="C306" s="10"/>
      <c r="D306" s="5">
        <f t="shared" si="48"/>
        <v>10</v>
      </c>
      <c r="E306" s="5" t="s">
        <v>26</v>
      </c>
      <c r="F306" s="6" t="s">
        <v>390</v>
      </c>
      <c r="G306" s="9" t="s">
        <v>162</v>
      </c>
      <c r="H306" s="9" t="s">
        <v>391</v>
      </c>
      <c r="I306" s="9"/>
      <c r="J306" s="9" t="s">
        <v>98</v>
      </c>
      <c r="K306" s="9" t="s">
        <v>44</v>
      </c>
      <c r="L306" s="9" t="s">
        <v>95</v>
      </c>
      <c r="M306" s="9" t="s">
        <v>454</v>
      </c>
      <c r="N306" s="22" t="s">
        <v>366</v>
      </c>
      <c r="O306" s="5">
        <v>10</v>
      </c>
      <c r="P306" s="5" t="s">
        <v>26</v>
      </c>
      <c r="Q306" s="19"/>
      <c r="R306" s="17"/>
      <c r="S306" s="17"/>
      <c r="T306" s="18">
        <v>212.1</v>
      </c>
      <c r="U306" s="18">
        <v>2121</v>
      </c>
      <c r="V306" s="16"/>
      <c r="W306">
        <f t="shared" si="41"/>
        <v>265.125</v>
      </c>
      <c r="X306">
        <f t="shared" si="42"/>
        <v>2651.25</v>
      </c>
      <c r="Y306">
        <f t="shared" si="43"/>
        <v>37.6063829787234</v>
      </c>
      <c r="Z306">
        <f t="shared" si="44"/>
        <v>376.063829787234</v>
      </c>
      <c r="AA306">
        <f t="shared" si="46"/>
        <v>0.08484</v>
      </c>
    </row>
    <row r="307" ht="73.2" spans="1:27">
      <c r="A307" s="5">
        <v>61</v>
      </c>
      <c r="B307" s="10" t="s">
        <v>26</v>
      </c>
      <c r="C307" s="10"/>
      <c r="D307" s="5">
        <f t="shared" si="48"/>
        <v>61</v>
      </c>
      <c r="E307" s="5" t="s">
        <v>26</v>
      </c>
      <c r="F307" s="6" t="s">
        <v>393</v>
      </c>
      <c r="G307" s="9" t="s">
        <v>394</v>
      </c>
      <c r="H307" s="9" t="s">
        <v>113</v>
      </c>
      <c r="I307" s="9"/>
      <c r="J307" s="9"/>
      <c r="K307" s="9" t="s">
        <v>261</v>
      </c>
      <c r="L307" s="9" t="s">
        <v>395</v>
      </c>
      <c r="M307" s="9" t="s">
        <v>455</v>
      </c>
      <c r="N307" s="22" t="s">
        <v>366</v>
      </c>
      <c r="O307" s="5">
        <v>61</v>
      </c>
      <c r="P307" s="5" t="s">
        <v>26</v>
      </c>
      <c r="Q307" s="19"/>
      <c r="R307" s="17"/>
      <c r="S307" s="17"/>
      <c r="T307" s="18"/>
      <c r="U307" s="18"/>
      <c r="V307" s="16" t="s">
        <v>279</v>
      </c>
      <c r="W307">
        <f t="shared" si="41"/>
        <v>0</v>
      </c>
      <c r="X307">
        <f t="shared" si="42"/>
        <v>0</v>
      </c>
      <c r="Y307">
        <f t="shared" si="43"/>
        <v>0</v>
      </c>
      <c r="Z307">
        <f t="shared" si="44"/>
        <v>0</v>
      </c>
      <c r="AA307">
        <f t="shared" si="46"/>
        <v>0</v>
      </c>
    </row>
    <row r="308" ht="88.8" spans="1:27">
      <c r="A308" s="5">
        <v>23</v>
      </c>
      <c r="B308" s="10" t="s">
        <v>26</v>
      </c>
      <c r="C308" s="10"/>
      <c r="D308" s="5">
        <f t="shared" si="48"/>
        <v>23</v>
      </c>
      <c r="E308" s="5" t="s">
        <v>26</v>
      </c>
      <c r="F308" s="6" t="s">
        <v>397</v>
      </c>
      <c r="G308" s="9" t="s">
        <v>162</v>
      </c>
      <c r="H308" s="9" t="s">
        <v>163</v>
      </c>
      <c r="I308" s="9"/>
      <c r="J308" s="9" t="s">
        <v>98</v>
      </c>
      <c r="K308" s="9" t="s">
        <v>44</v>
      </c>
      <c r="L308" s="9" t="s">
        <v>95</v>
      </c>
      <c r="M308" s="9" t="s">
        <v>456</v>
      </c>
      <c r="N308" s="22" t="s">
        <v>366</v>
      </c>
      <c r="O308" s="5">
        <v>23</v>
      </c>
      <c r="P308" s="5" t="s">
        <v>26</v>
      </c>
      <c r="Q308" s="19"/>
      <c r="R308" s="17"/>
      <c r="S308" s="17"/>
      <c r="T308" s="18">
        <v>156.55</v>
      </c>
      <c r="U308" s="18">
        <v>3600.65</v>
      </c>
      <c r="V308" s="16"/>
      <c r="W308">
        <f t="shared" si="41"/>
        <v>195.6875</v>
      </c>
      <c r="X308">
        <f t="shared" si="42"/>
        <v>4500.8125</v>
      </c>
      <c r="Y308">
        <f t="shared" si="43"/>
        <v>27.7570921985816</v>
      </c>
      <c r="Z308">
        <f t="shared" si="44"/>
        <v>638.413120567376</v>
      </c>
      <c r="AA308">
        <f t="shared" si="46"/>
        <v>0.144026</v>
      </c>
    </row>
    <row r="309" ht="92.4" spans="1:27">
      <c r="A309" s="5">
        <v>17</v>
      </c>
      <c r="B309" s="10" t="s">
        <v>26</v>
      </c>
      <c r="C309" s="10"/>
      <c r="D309" s="5">
        <f t="shared" si="48"/>
        <v>17</v>
      </c>
      <c r="E309" s="5" t="s">
        <v>26</v>
      </c>
      <c r="F309" s="6" t="s">
        <v>399</v>
      </c>
      <c r="G309" s="9" t="s">
        <v>277</v>
      </c>
      <c r="H309" s="9" t="s">
        <v>69</v>
      </c>
      <c r="I309" s="9"/>
      <c r="J309" s="9"/>
      <c r="K309" s="9" t="s">
        <v>261</v>
      </c>
      <c r="L309" s="9" t="s">
        <v>262</v>
      </c>
      <c r="M309" s="9" t="s">
        <v>457</v>
      </c>
      <c r="N309" s="22" t="s">
        <v>366</v>
      </c>
      <c r="O309" s="5">
        <v>17</v>
      </c>
      <c r="P309" s="5" t="s">
        <v>26</v>
      </c>
      <c r="Q309" s="19"/>
      <c r="R309" s="17"/>
      <c r="S309" s="17"/>
      <c r="T309" s="18"/>
      <c r="U309" s="18"/>
      <c r="V309" s="16" t="s">
        <v>279</v>
      </c>
      <c r="W309">
        <f t="shared" si="41"/>
        <v>0</v>
      </c>
      <c r="X309">
        <f t="shared" si="42"/>
        <v>0</v>
      </c>
      <c r="Y309">
        <f t="shared" si="43"/>
        <v>0</v>
      </c>
      <c r="Z309">
        <f t="shared" si="44"/>
        <v>0</v>
      </c>
      <c r="AA309">
        <f t="shared" si="46"/>
        <v>0</v>
      </c>
    </row>
    <row r="310" ht="54" spans="1:27">
      <c r="A310" s="5">
        <v>1</v>
      </c>
      <c r="B310" s="10" t="s">
        <v>26</v>
      </c>
      <c r="C310" s="10"/>
      <c r="D310" s="5">
        <f t="shared" si="48"/>
        <v>1</v>
      </c>
      <c r="E310" s="5" t="s">
        <v>26</v>
      </c>
      <c r="F310" s="6" t="s">
        <v>401</v>
      </c>
      <c r="G310" s="9" t="s">
        <v>402</v>
      </c>
      <c r="H310" s="9" t="s">
        <v>72</v>
      </c>
      <c r="I310" s="9"/>
      <c r="J310" s="9" t="s">
        <v>94</v>
      </c>
      <c r="K310" s="9" t="s">
        <v>44</v>
      </c>
      <c r="L310" s="9" t="s">
        <v>95</v>
      </c>
      <c r="M310" s="9" t="s">
        <v>403</v>
      </c>
      <c r="N310" s="22" t="s">
        <v>366</v>
      </c>
      <c r="O310" s="5">
        <v>1</v>
      </c>
      <c r="P310" s="5" t="s">
        <v>26</v>
      </c>
      <c r="Q310" s="19"/>
      <c r="R310" s="17"/>
      <c r="S310" s="17"/>
      <c r="T310" s="18">
        <v>55.55</v>
      </c>
      <c r="U310" s="18">
        <v>55.55</v>
      </c>
      <c r="V310" s="16"/>
      <c r="W310">
        <f t="shared" si="41"/>
        <v>69.4375</v>
      </c>
      <c r="X310">
        <f t="shared" si="42"/>
        <v>69.4375</v>
      </c>
      <c r="Y310">
        <f t="shared" si="43"/>
        <v>9.84929078014184</v>
      </c>
      <c r="Z310">
        <f t="shared" si="44"/>
        <v>9.84929078014184</v>
      </c>
      <c r="AA310">
        <f t="shared" si="46"/>
        <v>0.002222</v>
      </c>
    </row>
    <row r="311" ht="73.2" spans="1:27">
      <c r="A311" s="5">
        <v>1</v>
      </c>
      <c r="B311" s="10" t="s">
        <v>26</v>
      </c>
      <c r="C311" s="10"/>
      <c r="D311" s="5">
        <f t="shared" si="48"/>
        <v>1</v>
      </c>
      <c r="E311" s="5" t="s">
        <v>26</v>
      </c>
      <c r="F311" s="6" t="s">
        <v>404</v>
      </c>
      <c r="G311" s="9" t="s">
        <v>253</v>
      </c>
      <c r="H311" s="9" t="s">
        <v>29</v>
      </c>
      <c r="I311" s="9" t="s">
        <v>55</v>
      </c>
      <c r="J311" s="9"/>
      <c r="K311" s="9" t="s">
        <v>254</v>
      </c>
      <c r="L311" s="9" t="s">
        <v>95</v>
      </c>
      <c r="M311" s="9" t="s">
        <v>386</v>
      </c>
      <c r="N311" s="22" t="s">
        <v>366</v>
      </c>
      <c r="O311" s="5">
        <v>1</v>
      </c>
      <c r="P311" s="5" t="s">
        <v>26</v>
      </c>
      <c r="Q311" s="19"/>
      <c r="R311" s="17"/>
      <c r="S311" s="17"/>
      <c r="T311" s="18">
        <v>22.4444444444444</v>
      </c>
      <c r="U311" s="18">
        <v>22.4444444444444</v>
      </c>
      <c r="V311" s="16"/>
      <c r="W311">
        <f t="shared" si="41"/>
        <v>28.0555555555555</v>
      </c>
      <c r="X311">
        <f t="shared" si="42"/>
        <v>28.0555555555555</v>
      </c>
      <c r="Y311">
        <f t="shared" si="43"/>
        <v>3.97951142631993</v>
      </c>
      <c r="Z311">
        <f t="shared" si="44"/>
        <v>3.97951142631993</v>
      </c>
      <c r="AA311">
        <f t="shared" si="46"/>
        <v>0.000897777777777776</v>
      </c>
    </row>
    <row r="312" ht="139.2" spans="1:27">
      <c r="A312" s="5">
        <v>23</v>
      </c>
      <c r="B312" s="10" t="s">
        <v>26</v>
      </c>
      <c r="C312" s="10"/>
      <c r="D312" s="5">
        <f t="shared" si="48"/>
        <v>23</v>
      </c>
      <c r="E312" s="5" t="s">
        <v>26</v>
      </c>
      <c r="F312" s="6" t="s">
        <v>405</v>
      </c>
      <c r="G312" s="9" t="s">
        <v>406</v>
      </c>
      <c r="H312" s="9" t="s">
        <v>407</v>
      </c>
      <c r="I312" s="9"/>
      <c r="J312" s="9"/>
      <c r="K312" s="9" t="s">
        <v>408</v>
      </c>
      <c r="L312" s="9" t="s">
        <v>409</v>
      </c>
      <c r="M312" s="9" t="s">
        <v>410</v>
      </c>
      <c r="N312" s="22" t="s">
        <v>366</v>
      </c>
      <c r="O312" s="5">
        <v>23</v>
      </c>
      <c r="P312" s="5" t="s">
        <v>26</v>
      </c>
      <c r="Q312" s="19"/>
      <c r="R312" s="17"/>
      <c r="S312" s="17"/>
      <c r="T312" s="18"/>
      <c r="U312" s="18"/>
      <c r="V312" s="16" t="s">
        <v>411</v>
      </c>
      <c r="W312">
        <f t="shared" si="41"/>
        <v>0</v>
      </c>
      <c r="X312">
        <f t="shared" si="42"/>
        <v>0</v>
      </c>
      <c r="Y312">
        <f t="shared" si="43"/>
        <v>0</v>
      </c>
      <c r="Z312">
        <f t="shared" si="44"/>
        <v>0</v>
      </c>
      <c r="AA312">
        <f>U312/35000</f>
        <v>0</v>
      </c>
    </row>
    <row r="313" ht="54" spans="1:27">
      <c r="A313" s="5">
        <v>44</v>
      </c>
      <c r="B313" s="10" t="s">
        <v>26</v>
      </c>
      <c r="C313" s="10"/>
      <c r="D313" s="5">
        <f t="shared" si="48"/>
        <v>44</v>
      </c>
      <c r="E313" s="5" t="s">
        <v>26</v>
      </c>
      <c r="F313" s="6" t="s">
        <v>412</v>
      </c>
      <c r="G313" s="9" t="s">
        <v>28</v>
      </c>
      <c r="H313" s="9" t="s">
        <v>29</v>
      </c>
      <c r="I313" s="9" t="s">
        <v>55</v>
      </c>
      <c r="J313" s="9"/>
      <c r="K313" s="9" t="s">
        <v>31</v>
      </c>
      <c r="L313" s="9" t="s">
        <v>60</v>
      </c>
      <c r="M313" s="9" t="s">
        <v>61</v>
      </c>
      <c r="N313" s="22" t="s">
        <v>366</v>
      </c>
      <c r="O313" s="5">
        <v>44</v>
      </c>
      <c r="P313" s="5" t="s">
        <v>26</v>
      </c>
      <c r="Q313" s="19"/>
      <c r="R313" s="17"/>
      <c r="S313" s="17"/>
      <c r="T313" s="18">
        <v>19.0777777777778</v>
      </c>
      <c r="U313" s="18">
        <v>839.422222222223</v>
      </c>
      <c r="V313" s="16"/>
      <c r="W313">
        <f t="shared" si="41"/>
        <v>23.8472222222222</v>
      </c>
      <c r="X313">
        <f t="shared" si="42"/>
        <v>1049.27777777778</v>
      </c>
      <c r="Y313">
        <f t="shared" si="43"/>
        <v>3.38258471237195</v>
      </c>
      <c r="Z313">
        <f t="shared" si="44"/>
        <v>148.833727344366</v>
      </c>
      <c r="AA313">
        <f t="shared" ref="AA313:AA322" si="49">U313/25000</f>
        <v>0.0335768888888889</v>
      </c>
    </row>
    <row r="314" ht="54" spans="1:27">
      <c r="A314" s="5">
        <v>7</v>
      </c>
      <c r="B314" s="10" t="s">
        <v>26</v>
      </c>
      <c r="C314" s="10"/>
      <c r="D314" s="5">
        <f t="shared" si="48"/>
        <v>7</v>
      </c>
      <c r="E314" s="5" t="s">
        <v>26</v>
      </c>
      <c r="F314" s="6" t="s">
        <v>413</v>
      </c>
      <c r="G314" s="9" t="s">
        <v>28</v>
      </c>
      <c r="H314" s="9" t="s">
        <v>57</v>
      </c>
      <c r="I314" s="9" t="s">
        <v>55</v>
      </c>
      <c r="J314" s="9"/>
      <c r="K314" s="9" t="s">
        <v>31</v>
      </c>
      <c r="L314" s="9" t="s">
        <v>60</v>
      </c>
      <c r="M314" s="9" t="s">
        <v>61</v>
      </c>
      <c r="N314" s="22" t="s">
        <v>366</v>
      </c>
      <c r="O314" s="5">
        <v>7</v>
      </c>
      <c r="P314" s="5" t="s">
        <v>26</v>
      </c>
      <c r="Q314" s="19"/>
      <c r="R314" s="17"/>
      <c r="S314" s="17"/>
      <c r="T314" s="18">
        <v>43.7666666666667</v>
      </c>
      <c r="U314" s="18">
        <v>306.366666666667</v>
      </c>
      <c r="V314" s="16"/>
      <c r="W314">
        <f t="shared" si="41"/>
        <v>54.7083333333334</v>
      </c>
      <c r="X314">
        <f t="shared" si="42"/>
        <v>382.958333333334</v>
      </c>
      <c r="Y314">
        <f t="shared" si="43"/>
        <v>7.76004728132388</v>
      </c>
      <c r="Z314">
        <f t="shared" si="44"/>
        <v>54.3203309692672</v>
      </c>
      <c r="AA314">
        <f t="shared" si="49"/>
        <v>0.0122546666666667</v>
      </c>
    </row>
    <row r="315" ht="54" spans="1:27">
      <c r="A315" s="5">
        <v>1</v>
      </c>
      <c r="B315" s="10" t="s">
        <v>26</v>
      </c>
      <c r="C315" s="10"/>
      <c r="D315" s="5">
        <f t="shared" si="48"/>
        <v>1</v>
      </c>
      <c r="E315" s="5" t="s">
        <v>26</v>
      </c>
      <c r="F315" s="6" t="s">
        <v>414</v>
      </c>
      <c r="G315" s="9" t="s">
        <v>28</v>
      </c>
      <c r="H315" s="9" t="s">
        <v>59</v>
      </c>
      <c r="I315" s="9" t="s">
        <v>55</v>
      </c>
      <c r="J315" s="9"/>
      <c r="K315" s="9" t="s">
        <v>31</v>
      </c>
      <c r="L315" s="9" t="s">
        <v>60</v>
      </c>
      <c r="M315" s="9" t="s">
        <v>61</v>
      </c>
      <c r="N315" s="22" t="s">
        <v>366</v>
      </c>
      <c r="O315" s="5">
        <v>1</v>
      </c>
      <c r="P315" s="5" t="s">
        <v>26</v>
      </c>
      <c r="Q315" s="19"/>
      <c r="R315" s="17"/>
      <c r="S315" s="17"/>
      <c r="T315" s="18">
        <v>70.7</v>
      </c>
      <c r="U315" s="18">
        <v>70.7</v>
      </c>
      <c r="V315" s="16"/>
      <c r="W315">
        <f t="shared" si="41"/>
        <v>88.375</v>
      </c>
      <c r="X315">
        <f t="shared" si="42"/>
        <v>88.375</v>
      </c>
      <c r="Y315">
        <f t="shared" si="43"/>
        <v>12.5354609929078</v>
      </c>
      <c r="Z315">
        <f t="shared" si="44"/>
        <v>12.5354609929078</v>
      </c>
      <c r="AA315">
        <f t="shared" si="49"/>
        <v>0.002828</v>
      </c>
    </row>
    <row r="316" ht="54" spans="1:27">
      <c r="A316" s="5">
        <v>20</v>
      </c>
      <c r="B316" s="10" t="s">
        <v>26</v>
      </c>
      <c r="C316" s="10"/>
      <c r="D316" s="5">
        <f t="shared" si="48"/>
        <v>20</v>
      </c>
      <c r="E316" s="5" t="s">
        <v>26</v>
      </c>
      <c r="F316" s="6" t="s">
        <v>415</v>
      </c>
      <c r="G316" s="9" t="s">
        <v>28</v>
      </c>
      <c r="H316" s="9" t="s">
        <v>69</v>
      </c>
      <c r="I316" s="9" t="s">
        <v>64</v>
      </c>
      <c r="J316" s="9"/>
      <c r="K316" s="9" t="s">
        <v>31</v>
      </c>
      <c r="L316" s="9" t="s">
        <v>60</v>
      </c>
      <c r="M316" s="9" t="s">
        <v>61</v>
      </c>
      <c r="N316" s="22" t="s">
        <v>366</v>
      </c>
      <c r="O316" s="5">
        <v>20</v>
      </c>
      <c r="P316" s="5" t="s">
        <v>26</v>
      </c>
      <c r="Q316" s="19"/>
      <c r="R316" s="17"/>
      <c r="S316" s="17"/>
      <c r="T316" s="18">
        <v>11.2222222222222</v>
      </c>
      <c r="U316" s="18">
        <v>224.444444444444</v>
      </c>
      <c r="V316" s="16"/>
      <c r="W316">
        <f t="shared" si="41"/>
        <v>14.0277777777778</v>
      </c>
      <c r="X316">
        <f t="shared" si="42"/>
        <v>280.555555555555</v>
      </c>
      <c r="Y316">
        <f t="shared" si="43"/>
        <v>1.98975571315996</v>
      </c>
      <c r="Z316">
        <f t="shared" si="44"/>
        <v>39.7951142631993</v>
      </c>
      <c r="AA316">
        <f t="shared" si="49"/>
        <v>0.00897777777777776</v>
      </c>
    </row>
    <row r="317" ht="54" spans="1:27">
      <c r="A317" s="5">
        <v>1</v>
      </c>
      <c r="B317" s="10" t="s">
        <v>26</v>
      </c>
      <c r="C317" s="10"/>
      <c r="D317" s="5">
        <f t="shared" si="48"/>
        <v>1</v>
      </c>
      <c r="E317" s="5" t="s">
        <v>26</v>
      </c>
      <c r="F317" s="6" t="s">
        <v>416</v>
      </c>
      <c r="G317" s="9" t="s">
        <v>28</v>
      </c>
      <c r="H317" s="9" t="s">
        <v>72</v>
      </c>
      <c r="I317" s="9" t="s">
        <v>64</v>
      </c>
      <c r="J317" s="9"/>
      <c r="K317" s="9" t="s">
        <v>31</v>
      </c>
      <c r="L317" s="9" t="s">
        <v>60</v>
      </c>
      <c r="M317" s="9" t="s">
        <v>247</v>
      </c>
      <c r="N317" s="22" t="s">
        <v>366</v>
      </c>
      <c r="O317" s="5">
        <v>1</v>
      </c>
      <c r="P317" s="5" t="s">
        <v>26</v>
      </c>
      <c r="Q317" s="19"/>
      <c r="R317" s="17"/>
      <c r="S317" s="17"/>
      <c r="T317" s="18">
        <v>33.6666666666667</v>
      </c>
      <c r="U317" s="18">
        <v>33.6666666666667</v>
      </c>
      <c r="V317" s="16"/>
      <c r="W317">
        <f t="shared" si="41"/>
        <v>42.0833333333334</v>
      </c>
      <c r="X317">
        <f t="shared" si="42"/>
        <v>42.0833333333334</v>
      </c>
      <c r="Y317">
        <f t="shared" si="43"/>
        <v>5.96926713947991</v>
      </c>
      <c r="Z317">
        <f t="shared" si="44"/>
        <v>5.96926713947991</v>
      </c>
      <c r="AA317">
        <f t="shared" si="49"/>
        <v>0.00134666666666667</v>
      </c>
    </row>
    <row r="318" ht="54" spans="1:27">
      <c r="A318" s="5">
        <v>8</v>
      </c>
      <c r="B318" s="10" t="s">
        <v>26</v>
      </c>
      <c r="C318" s="10"/>
      <c r="D318" s="5">
        <f t="shared" si="48"/>
        <v>8</v>
      </c>
      <c r="E318" s="5" t="s">
        <v>26</v>
      </c>
      <c r="F318" s="6" t="s">
        <v>417</v>
      </c>
      <c r="G318" s="9" t="s">
        <v>28</v>
      </c>
      <c r="H318" s="9" t="s">
        <v>69</v>
      </c>
      <c r="I318" s="9" t="s">
        <v>64</v>
      </c>
      <c r="J318" s="9"/>
      <c r="K318" s="9" t="s">
        <v>31</v>
      </c>
      <c r="L318" s="9" t="s">
        <v>60</v>
      </c>
      <c r="M318" s="9" t="s">
        <v>70</v>
      </c>
      <c r="N318" s="22" t="s">
        <v>366</v>
      </c>
      <c r="O318" s="5">
        <v>8</v>
      </c>
      <c r="P318" s="5" t="s">
        <v>26</v>
      </c>
      <c r="Q318" s="19"/>
      <c r="R318" s="17"/>
      <c r="S318" s="17"/>
      <c r="T318" s="18">
        <v>22.4444444444444</v>
      </c>
      <c r="U318" s="18">
        <v>179.555555555555</v>
      </c>
      <c r="V318" s="16"/>
      <c r="W318">
        <f t="shared" si="41"/>
        <v>28.0555555555555</v>
      </c>
      <c r="X318">
        <f t="shared" si="42"/>
        <v>224.444444444444</v>
      </c>
      <c r="Y318">
        <f t="shared" si="43"/>
        <v>3.97951142631993</v>
      </c>
      <c r="Z318">
        <f t="shared" si="44"/>
        <v>31.8360914105594</v>
      </c>
      <c r="AA318">
        <f t="shared" si="49"/>
        <v>0.0071822222222222</v>
      </c>
    </row>
    <row r="319" ht="54" spans="1:27">
      <c r="A319" s="5">
        <v>3</v>
      </c>
      <c r="B319" s="10" t="s">
        <v>26</v>
      </c>
      <c r="C319" s="10"/>
      <c r="D319" s="5">
        <f t="shared" si="48"/>
        <v>3</v>
      </c>
      <c r="E319" s="5" t="s">
        <v>26</v>
      </c>
      <c r="F319" s="6" t="s">
        <v>418</v>
      </c>
      <c r="G319" s="9" t="s">
        <v>37</v>
      </c>
      <c r="H319" s="9" t="s">
        <v>59</v>
      </c>
      <c r="I319" s="9" t="s">
        <v>55</v>
      </c>
      <c r="J319" s="9"/>
      <c r="K319" s="9" t="s">
        <v>31</v>
      </c>
      <c r="L319" s="9" t="s">
        <v>60</v>
      </c>
      <c r="M319" s="9" t="s">
        <v>61</v>
      </c>
      <c r="N319" s="22" t="s">
        <v>366</v>
      </c>
      <c r="O319" s="5">
        <v>3</v>
      </c>
      <c r="P319" s="5" t="s">
        <v>26</v>
      </c>
      <c r="Q319" s="19"/>
      <c r="R319" s="17"/>
      <c r="S319" s="17"/>
      <c r="T319" s="18">
        <v>117.833333333333</v>
      </c>
      <c r="U319" s="18">
        <v>353.499999999999</v>
      </c>
      <c r="V319" s="16"/>
      <c r="W319">
        <f t="shared" si="41"/>
        <v>147.291666666666</v>
      </c>
      <c r="X319">
        <f t="shared" si="42"/>
        <v>441.874999999999</v>
      </c>
      <c r="Y319">
        <f t="shared" si="43"/>
        <v>20.8924349881796</v>
      </c>
      <c r="Z319">
        <f t="shared" si="44"/>
        <v>62.6773049645388</v>
      </c>
      <c r="AA319">
        <f t="shared" si="49"/>
        <v>0.01414</v>
      </c>
    </row>
    <row r="320" ht="54" spans="1:27">
      <c r="A320" s="5">
        <v>10</v>
      </c>
      <c r="B320" s="10" t="s">
        <v>26</v>
      </c>
      <c r="C320" s="10"/>
      <c r="D320" s="5">
        <f t="shared" si="48"/>
        <v>10</v>
      </c>
      <c r="E320" s="5" t="s">
        <v>26</v>
      </c>
      <c r="F320" s="6" t="s">
        <v>419</v>
      </c>
      <c r="G320" s="9" t="s">
        <v>42</v>
      </c>
      <c r="H320" s="9" t="s">
        <v>57</v>
      </c>
      <c r="I320" s="9" t="s">
        <v>55</v>
      </c>
      <c r="J320" s="9" t="s">
        <v>98</v>
      </c>
      <c r="K320" s="9" t="s">
        <v>44</v>
      </c>
      <c r="L320" s="9" t="s">
        <v>95</v>
      </c>
      <c r="M320" s="9" t="s">
        <v>171</v>
      </c>
      <c r="N320" s="22" t="s">
        <v>366</v>
      </c>
      <c r="O320" s="5">
        <v>10</v>
      </c>
      <c r="P320" s="5" t="s">
        <v>26</v>
      </c>
      <c r="Q320" s="19"/>
      <c r="R320" s="17"/>
      <c r="S320" s="17"/>
      <c r="T320" s="18">
        <v>169.68</v>
      </c>
      <c r="U320" s="18">
        <v>1696.8</v>
      </c>
      <c r="V320" s="16"/>
      <c r="W320">
        <f t="shared" si="41"/>
        <v>212.1</v>
      </c>
      <c r="X320">
        <f t="shared" si="42"/>
        <v>2121</v>
      </c>
      <c r="Y320">
        <f t="shared" si="43"/>
        <v>30.0851063829787</v>
      </c>
      <c r="Z320">
        <f t="shared" si="44"/>
        <v>300.851063829787</v>
      </c>
      <c r="AA320">
        <f t="shared" si="49"/>
        <v>0.067872</v>
      </c>
    </row>
    <row r="321" ht="66" spans="1:27">
      <c r="A321" s="5">
        <v>77</v>
      </c>
      <c r="B321" s="10" t="s">
        <v>26</v>
      </c>
      <c r="C321" s="10"/>
      <c r="D321" s="5">
        <f t="shared" si="48"/>
        <v>77</v>
      </c>
      <c r="E321" s="5" t="s">
        <v>26</v>
      </c>
      <c r="F321" s="6" t="s">
        <v>420</v>
      </c>
      <c r="G321" s="9" t="s">
        <v>42</v>
      </c>
      <c r="H321" s="9" t="s">
        <v>69</v>
      </c>
      <c r="I321" s="9" t="s">
        <v>64</v>
      </c>
      <c r="J321" s="9" t="s">
        <v>94</v>
      </c>
      <c r="K321" s="9" t="s">
        <v>44</v>
      </c>
      <c r="L321" s="9" t="s">
        <v>95</v>
      </c>
      <c r="M321" s="9" t="s">
        <v>242</v>
      </c>
      <c r="N321" s="22" t="s">
        <v>366</v>
      </c>
      <c r="O321" s="5">
        <v>77</v>
      </c>
      <c r="P321" s="5" t="s">
        <v>26</v>
      </c>
      <c r="Q321" s="19"/>
      <c r="R321" s="17"/>
      <c r="S321" s="17"/>
      <c r="T321" s="18">
        <v>55.55</v>
      </c>
      <c r="U321" s="18">
        <v>4277.35</v>
      </c>
      <c r="V321" s="16"/>
      <c r="W321">
        <f t="shared" si="41"/>
        <v>69.4375</v>
      </c>
      <c r="X321">
        <f t="shared" si="42"/>
        <v>5346.6875</v>
      </c>
      <c r="Y321">
        <f t="shared" si="43"/>
        <v>9.84929078014184</v>
      </c>
      <c r="Z321">
        <f t="shared" si="44"/>
        <v>758.395390070922</v>
      </c>
      <c r="AA321">
        <f t="shared" si="49"/>
        <v>0.171094</v>
      </c>
    </row>
    <row r="322" ht="54" spans="1:27">
      <c r="A322" s="5">
        <v>24</v>
      </c>
      <c r="B322" s="10" t="s">
        <v>26</v>
      </c>
      <c r="C322" s="10"/>
      <c r="D322" s="5">
        <f t="shared" si="48"/>
        <v>24</v>
      </c>
      <c r="E322" s="5" t="s">
        <v>26</v>
      </c>
      <c r="F322" s="6" t="s">
        <v>421</v>
      </c>
      <c r="G322" s="9" t="s">
        <v>42</v>
      </c>
      <c r="H322" s="9" t="s">
        <v>72</v>
      </c>
      <c r="I322" s="9" t="s">
        <v>64</v>
      </c>
      <c r="J322" s="9" t="s">
        <v>94</v>
      </c>
      <c r="K322" s="9" t="s">
        <v>44</v>
      </c>
      <c r="L322" s="9" t="s">
        <v>95</v>
      </c>
      <c r="M322" s="9" t="s">
        <v>171</v>
      </c>
      <c r="N322" s="22" t="s">
        <v>366</v>
      </c>
      <c r="O322" s="5">
        <v>24</v>
      </c>
      <c r="P322" s="5" t="s">
        <v>26</v>
      </c>
      <c r="Q322" s="19"/>
      <c r="R322" s="17"/>
      <c r="S322" s="17"/>
      <c r="T322" s="18">
        <v>65.65</v>
      </c>
      <c r="U322" s="18">
        <v>1575.6</v>
      </c>
      <c r="V322" s="16"/>
      <c r="W322">
        <f t="shared" si="41"/>
        <v>82.0625</v>
      </c>
      <c r="X322">
        <f t="shared" si="42"/>
        <v>1969.5</v>
      </c>
      <c r="Y322">
        <f t="shared" si="43"/>
        <v>11.6400709219858</v>
      </c>
      <c r="Z322">
        <f t="shared" si="44"/>
        <v>279.36170212766</v>
      </c>
      <c r="AA322">
        <f t="shared" si="49"/>
        <v>0.063024</v>
      </c>
    </row>
    <row r="323" ht="100.8" spans="1:27">
      <c r="A323" s="5">
        <v>10</v>
      </c>
      <c r="B323" s="10" t="s">
        <v>26</v>
      </c>
      <c r="C323" s="10"/>
      <c r="D323" s="5">
        <f t="shared" si="48"/>
        <v>10</v>
      </c>
      <c r="E323" s="5" t="s">
        <v>26</v>
      </c>
      <c r="F323" s="6" t="s">
        <v>422</v>
      </c>
      <c r="G323" s="9" t="s">
        <v>166</v>
      </c>
      <c r="H323" s="9" t="s">
        <v>77</v>
      </c>
      <c r="I323" s="9"/>
      <c r="J323" s="9" t="s">
        <v>423</v>
      </c>
      <c r="K323" s="9" t="s">
        <v>424</v>
      </c>
      <c r="L323" s="9" t="s">
        <v>425</v>
      </c>
      <c r="M323" s="9" t="s">
        <v>426</v>
      </c>
      <c r="N323" s="22" t="s">
        <v>366</v>
      </c>
      <c r="O323" s="5">
        <v>10</v>
      </c>
      <c r="P323" s="5" t="s">
        <v>26</v>
      </c>
      <c r="Q323" s="19"/>
      <c r="R323" s="17"/>
      <c r="S323" s="17"/>
      <c r="T323" s="18">
        <v>51.5</v>
      </c>
      <c r="U323" s="18">
        <v>515</v>
      </c>
      <c r="V323" s="16"/>
      <c r="W323">
        <f t="shared" si="41"/>
        <v>64.375</v>
      </c>
      <c r="X323">
        <f t="shared" si="42"/>
        <v>643.75</v>
      </c>
      <c r="Y323">
        <f t="shared" si="43"/>
        <v>9.13120567375887</v>
      </c>
      <c r="Z323">
        <f t="shared" si="44"/>
        <v>91.3120567375886</v>
      </c>
      <c r="AA323">
        <f>U323/35000</f>
        <v>0.0147142857142857</v>
      </c>
    </row>
    <row r="324" ht="54" spans="1:27">
      <c r="A324" s="5">
        <v>6</v>
      </c>
      <c r="B324" s="10" t="s">
        <v>26</v>
      </c>
      <c r="C324" s="10"/>
      <c r="D324" s="5">
        <f t="shared" ref="D324:D325" si="50">A324</f>
        <v>6</v>
      </c>
      <c r="E324" s="5" t="s">
        <v>26</v>
      </c>
      <c r="F324" s="6" t="s">
        <v>427</v>
      </c>
      <c r="G324" s="9" t="s">
        <v>39</v>
      </c>
      <c r="H324" s="9" t="s">
        <v>57</v>
      </c>
      <c r="I324" s="9" t="s">
        <v>55</v>
      </c>
      <c r="J324" s="9"/>
      <c r="K324" s="9" t="s">
        <v>31</v>
      </c>
      <c r="L324" s="9" t="s">
        <v>60</v>
      </c>
      <c r="M324" s="9" t="s">
        <v>142</v>
      </c>
      <c r="N324" s="22" t="s">
        <v>366</v>
      </c>
      <c r="O324" s="5">
        <v>6</v>
      </c>
      <c r="P324" s="5" t="s">
        <v>26</v>
      </c>
      <c r="Q324" s="19"/>
      <c r="R324" s="17"/>
      <c r="S324" s="17"/>
      <c r="T324" s="18">
        <v>112.222222222222</v>
      </c>
      <c r="U324" s="18">
        <v>673.333333333332</v>
      </c>
      <c r="V324" s="16"/>
      <c r="W324">
        <f t="shared" ref="W324:W387" si="51">T324*1.25</f>
        <v>140.277777777777</v>
      </c>
      <c r="X324">
        <f t="shared" ref="X324:X387" si="52">W324*O324</f>
        <v>841.666666666665</v>
      </c>
      <c r="Y324">
        <f t="shared" ref="Y324:Y387" si="53">W324/7.05</f>
        <v>19.8975571315996</v>
      </c>
      <c r="Z324">
        <f t="shared" ref="Z324:Z387" si="54">Y324*O324</f>
        <v>119.385342789598</v>
      </c>
      <c r="AA324">
        <f t="shared" ref="AA324:AA355" si="55">U324/25000</f>
        <v>0.0269333333333333</v>
      </c>
    </row>
    <row r="325" ht="76.8" spans="1:27">
      <c r="A325" s="10">
        <v>6</v>
      </c>
      <c r="B325" s="10" t="s">
        <v>25</v>
      </c>
      <c r="C325" s="10"/>
      <c r="D325" s="5">
        <f t="shared" si="50"/>
        <v>6</v>
      </c>
      <c r="E325" s="5" t="s">
        <v>26</v>
      </c>
      <c r="F325" s="20" t="s">
        <v>287</v>
      </c>
      <c r="G325" s="9" t="s">
        <v>37</v>
      </c>
      <c r="H325" s="9" t="s">
        <v>29</v>
      </c>
      <c r="I325" s="9" t="s">
        <v>30</v>
      </c>
      <c r="J325" s="9"/>
      <c r="K325" s="9" t="s">
        <v>254</v>
      </c>
      <c r="L325" s="9" t="s">
        <v>288</v>
      </c>
      <c r="M325" s="9" t="s">
        <v>289</v>
      </c>
      <c r="N325" s="23" t="s">
        <v>458</v>
      </c>
      <c r="O325" s="5">
        <v>6</v>
      </c>
      <c r="P325" s="5" t="s">
        <v>26</v>
      </c>
      <c r="Q325" s="10" t="s">
        <v>35</v>
      </c>
      <c r="R325" s="17"/>
      <c r="S325" s="17"/>
      <c r="T325" s="18">
        <v>69.5777777777778</v>
      </c>
      <c r="U325" s="18">
        <v>417.466666666667</v>
      </c>
      <c r="V325" s="16"/>
      <c r="W325">
        <f t="shared" si="51"/>
        <v>86.9722222222222</v>
      </c>
      <c r="X325">
        <f t="shared" si="52"/>
        <v>521.833333333333</v>
      </c>
      <c r="Y325">
        <f t="shared" si="53"/>
        <v>12.3364854215918</v>
      </c>
      <c r="Z325">
        <f t="shared" si="54"/>
        <v>74.0189125295508</v>
      </c>
      <c r="AA325">
        <f t="shared" si="55"/>
        <v>0.0166986666666667</v>
      </c>
    </row>
    <row r="326" ht="38.4" spans="1:27">
      <c r="A326" s="10">
        <v>2</v>
      </c>
      <c r="B326" s="10" t="s">
        <v>25</v>
      </c>
      <c r="C326" s="10"/>
      <c r="D326" s="5">
        <f t="shared" ref="D326:D332" si="56">A326</f>
        <v>2</v>
      </c>
      <c r="E326" s="5" t="s">
        <v>26</v>
      </c>
      <c r="F326" s="20" t="s">
        <v>300</v>
      </c>
      <c r="G326" s="9" t="s">
        <v>28</v>
      </c>
      <c r="H326" s="9" t="s">
        <v>57</v>
      </c>
      <c r="I326" s="9" t="s">
        <v>55</v>
      </c>
      <c r="J326" s="9"/>
      <c r="K326" s="9" t="s">
        <v>31</v>
      </c>
      <c r="L326" s="9" t="s">
        <v>291</v>
      </c>
      <c r="M326" s="9" t="s">
        <v>61</v>
      </c>
      <c r="N326" s="22" t="s">
        <v>459</v>
      </c>
      <c r="O326" s="5">
        <v>2</v>
      </c>
      <c r="P326" s="5" t="s">
        <v>26</v>
      </c>
      <c r="Q326" s="10"/>
      <c r="R326" s="17"/>
      <c r="S326" s="17"/>
      <c r="T326" s="18">
        <v>62.8444444444444</v>
      </c>
      <c r="U326" s="18">
        <v>125.688888888889</v>
      </c>
      <c r="V326" s="16"/>
      <c r="W326">
        <f t="shared" si="51"/>
        <v>78.5555555555555</v>
      </c>
      <c r="X326">
        <f t="shared" si="52"/>
        <v>157.111111111111</v>
      </c>
      <c r="Y326">
        <f t="shared" si="53"/>
        <v>11.1426319936958</v>
      </c>
      <c r="Z326">
        <f t="shared" si="54"/>
        <v>22.2852639873916</v>
      </c>
      <c r="AA326">
        <f t="shared" si="55"/>
        <v>0.00502755555555556</v>
      </c>
    </row>
    <row r="327" ht="38.4" spans="1:27">
      <c r="A327" s="10">
        <v>10</v>
      </c>
      <c r="B327" s="10" t="s">
        <v>25</v>
      </c>
      <c r="C327" s="10"/>
      <c r="D327" s="5">
        <f t="shared" si="56"/>
        <v>10</v>
      </c>
      <c r="E327" s="5" t="s">
        <v>26</v>
      </c>
      <c r="F327" s="20" t="s">
        <v>301</v>
      </c>
      <c r="G327" s="9" t="s">
        <v>28</v>
      </c>
      <c r="H327" s="9" t="s">
        <v>59</v>
      </c>
      <c r="I327" s="9" t="s">
        <v>55</v>
      </c>
      <c r="J327" s="9"/>
      <c r="K327" s="9" t="s">
        <v>31</v>
      </c>
      <c r="L327" s="9" t="s">
        <v>291</v>
      </c>
      <c r="M327" s="9" t="s">
        <v>61</v>
      </c>
      <c r="N327" s="22" t="s">
        <v>459</v>
      </c>
      <c r="O327" s="5">
        <v>10</v>
      </c>
      <c r="P327" s="5" t="s">
        <v>26</v>
      </c>
      <c r="Q327" s="10"/>
      <c r="R327" s="17"/>
      <c r="S327" s="17"/>
      <c r="T327" s="18">
        <v>108.855555555556</v>
      </c>
      <c r="U327" s="18">
        <v>1088.55555555556</v>
      </c>
      <c r="V327" s="16"/>
      <c r="W327">
        <f t="shared" si="51"/>
        <v>136.069444444445</v>
      </c>
      <c r="X327">
        <f t="shared" si="52"/>
        <v>1360.69444444445</v>
      </c>
      <c r="Y327">
        <f t="shared" si="53"/>
        <v>19.3006304176518</v>
      </c>
      <c r="Z327">
        <f t="shared" si="54"/>
        <v>193.006304176518</v>
      </c>
      <c r="AA327">
        <f t="shared" si="55"/>
        <v>0.0435422222222224</v>
      </c>
    </row>
    <row r="328" ht="38.4" spans="1:27">
      <c r="A328" s="10">
        <v>66</v>
      </c>
      <c r="B328" s="10" t="s">
        <v>25</v>
      </c>
      <c r="C328" s="10"/>
      <c r="D328" s="5">
        <f t="shared" si="56"/>
        <v>66</v>
      </c>
      <c r="E328" s="5" t="s">
        <v>26</v>
      </c>
      <c r="F328" s="20" t="s">
        <v>304</v>
      </c>
      <c r="G328" s="9" t="s">
        <v>37</v>
      </c>
      <c r="H328" s="9" t="s">
        <v>57</v>
      </c>
      <c r="I328" s="9" t="s">
        <v>55</v>
      </c>
      <c r="J328" s="9"/>
      <c r="K328" s="9" t="s">
        <v>31</v>
      </c>
      <c r="L328" s="9" t="s">
        <v>291</v>
      </c>
      <c r="M328" s="9" t="s">
        <v>61</v>
      </c>
      <c r="N328" s="22" t="s">
        <v>459</v>
      </c>
      <c r="O328" s="5">
        <v>66</v>
      </c>
      <c r="P328" s="5" t="s">
        <v>26</v>
      </c>
      <c r="Q328" s="10"/>
      <c r="R328" s="17"/>
      <c r="S328" s="17"/>
      <c r="T328" s="18">
        <v>105.488888888889</v>
      </c>
      <c r="U328" s="18">
        <v>6962.26666666667</v>
      </c>
      <c r="V328" s="16"/>
      <c r="W328">
        <f t="shared" si="51"/>
        <v>131.861111111111</v>
      </c>
      <c r="X328">
        <f t="shared" si="52"/>
        <v>8702.83333333334</v>
      </c>
      <c r="Y328">
        <f t="shared" si="53"/>
        <v>18.7037037037037</v>
      </c>
      <c r="Z328">
        <f t="shared" si="54"/>
        <v>1234.44444444445</v>
      </c>
      <c r="AA328">
        <f t="shared" si="55"/>
        <v>0.278490666666667</v>
      </c>
    </row>
    <row r="329" ht="92.4" spans="1:27">
      <c r="A329" s="10">
        <v>13</v>
      </c>
      <c r="B329" s="10" t="s">
        <v>25</v>
      </c>
      <c r="C329" s="10"/>
      <c r="D329" s="5">
        <f t="shared" si="56"/>
        <v>13</v>
      </c>
      <c r="E329" s="5" t="s">
        <v>26</v>
      </c>
      <c r="F329" s="20" t="s">
        <v>310</v>
      </c>
      <c r="G329" s="9" t="s">
        <v>37</v>
      </c>
      <c r="H329" s="9" t="s">
        <v>74</v>
      </c>
      <c r="I329" s="9" t="s">
        <v>75</v>
      </c>
      <c r="J329" s="9"/>
      <c r="K329" s="9" t="s">
        <v>254</v>
      </c>
      <c r="L329" s="9" t="s">
        <v>288</v>
      </c>
      <c r="M329" s="9" t="s">
        <v>311</v>
      </c>
      <c r="N329" s="22" t="s">
        <v>459</v>
      </c>
      <c r="O329" s="5">
        <v>13</v>
      </c>
      <c r="P329" s="5" t="s">
        <v>26</v>
      </c>
      <c r="Q329" s="10"/>
      <c r="R329" s="17"/>
      <c r="S329" s="17"/>
      <c r="T329" s="18">
        <v>28.0555555555556</v>
      </c>
      <c r="U329" s="18">
        <v>364.722222222223</v>
      </c>
      <c r="V329" s="16"/>
      <c r="W329">
        <f t="shared" si="51"/>
        <v>35.0694444444445</v>
      </c>
      <c r="X329">
        <f t="shared" si="52"/>
        <v>455.902777777779</v>
      </c>
      <c r="Y329">
        <f t="shared" si="53"/>
        <v>4.97438928289993</v>
      </c>
      <c r="Z329">
        <f t="shared" si="54"/>
        <v>64.6670606776991</v>
      </c>
      <c r="AA329">
        <f t="shared" si="55"/>
        <v>0.0145888888888889</v>
      </c>
    </row>
    <row r="330" ht="50.4" spans="1:27">
      <c r="A330" s="10">
        <v>1</v>
      </c>
      <c r="B330" s="10" t="s">
        <v>25</v>
      </c>
      <c r="C330" s="10"/>
      <c r="D330" s="5">
        <f t="shared" si="56"/>
        <v>1</v>
      </c>
      <c r="E330" s="5" t="s">
        <v>26</v>
      </c>
      <c r="F330" s="20" t="s">
        <v>323</v>
      </c>
      <c r="G330" s="9" t="s">
        <v>93</v>
      </c>
      <c r="H330" s="9" t="s">
        <v>66</v>
      </c>
      <c r="I330" s="9"/>
      <c r="J330" s="9" t="s">
        <v>98</v>
      </c>
      <c r="K330" s="9" t="s">
        <v>319</v>
      </c>
      <c r="L330" s="9" t="s">
        <v>316</v>
      </c>
      <c r="M330" s="9" t="s">
        <v>271</v>
      </c>
      <c r="N330" s="22" t="s">
        <v>459</v>
      </c>
      <c r="O330" s="5">
        <v>1</v>
      </c>
      <c r="P330" s="5" t="s">
        <v>26</v>
      </c>
      <c r="Q330" s="10"/>
      <c r="R330" s="17"/>
      <c r="S330" s="17"/>
      <c r="T330" s="18">
        <v>999.9</v>
      </c>
      <c r="U330" s="18">
        <v>999.9</v>
      </c>
      <c r="V330" s="16"/>
      <c r="W330">
        <f t="shared" si="51"/>
        <v>1249.875</v>
      </c>
      <c r="X330">
        <f t="shared" si="52"/>
        <v>1249.875</v>
      </c>
      <c r="Y330">
        <f t="shared" si="53"/>
        <v>177.287234042553</v>
      </c>
      <c r="Z330">
        <f t="shared" si="54"/>
        <v>177.287234042553</v>
      </c>
      <c r="AA330">
        <f t="shared" si="55"/>
        <v>0.039996</v>
      </c>
    </row>
    <row r="331" ht="69.6" spans="1:27">
      <c r="A331" s="10">
        <v>12</v>
      </c>
      <c r="B331" s="10" t="s">
        <v>25</v>
      </c>
      <c r="C331" s="10"/>
      <c r="D331" s="5">
        <f t="shared" si="56"/>
        <v>12</v>
      </c>
      <c r="E331" s="5" t="s">
        <v>26</v>
      </c>
      <c r="F331" s="20" t="s">
        <v>326</v>
      </c>
      <c r="G331" s="9" t="s">
        <v>102</v>
      </c>
      <c r="H331" s="9" t="s">
        <v>196</v>
      </c>
      <c r="I331" s="9" t="s">
        <v>108</v>
      </c>
      <c r="J331" s="9"/>
      <c r="K331" s="9" t="s">
        <v>31</v>
      </c>
      <c r="L331" s="9" t="s">
        <v>291</v>
      </c>
      <c r="M331" s="9" t="s">
        <v>442</v>
      </c>
      <c r="N331" s="22" t="s">
        <v>459</v>
      </c>
      <c r="O331" s="5">
        <v>12</v>
      </c>
      <c r="P331" s="5" t="s">
        <v>26</v>
      </c>
      <c r="Q331" s="10"/>
      <c r="R331" s="17"/>
      <c r="S331" s="17"/>
      <c r="T331" s="18">
        <v>65.0888888888889</v>
      </c>
      <c r="U331" s="18">
        <v>781.066666666667</v>
      </c>
      <c r="V331" s="16"/>
      <c r="W331">
        <f t="shared" si="51"/>
        <v>81.3611111111111</v>
      </c>
      <c r="X331">
        <f t="shared" si="52"/>
        <v>976.333333333333</v>
      </c>
      <c r="Y331">
        <f t="shared" si="53"/>
        <v>11.5405831363278</v>
      </c>
      <c r="Z331">
        <f t="shared" si="54"/>
        <v>138.486997635934</v>
      </c>
      <c r="AA331">
        <f t="shared" si="55"/>
        <v>0.0312426666666667</v>
      </c>
    </row>
    <row r="332" ht="50.4" spans="1:27">
      <c r="A332" s="10">
        <v>9</v>
      </c>
      <c r="B332" s="10" t="s">
        <v>25</v>
      </c>
      <c r="C332" s="10"/>
      <c r="D332" s="5">
        <f t="shared" si="56"/>
        <v>9</v>
      </c>
      <c r="E332" s="5" t="s">
        <v>26</v>
      </c>
      <c r="F332" s="20" t="s">
        <v>332</v>
      </c>
      <c r="G332" s="9" t="s">
        <v>39</v>
      </c>
      <c r="H332" s="9" t="s">
        <v>57</v>
      </c>
      <c r="I332" s="9" t="s">
        <v>55</v>
      </c>
      <c r="J332" s="9"/>
      <c r="K332" s="9" t="s">
        <v>31</v>
      </c>
      <c r="L332" s="9" t="s">
        <v>291</v>
      </c>
      <c r="M332" s="9" t="s">
        <v>142</v>
      </c>
      <c r="N332" s="22" t="s">
        <v>459</v>
      </c>
      <c r="O332" s="5">
        <v>9</v>
      </c>
      <c r="P332" s="5" t="s">
        <v>26</v>
      </c>
      <c r="Q332" s="10"/>
      <c r="R332" s="17"/>
      <c r="S332" s="17"/>
      <c r="T332" s="18">
        <v>157.111111111111</v>
      </c>
      <c r="U332" s="18">
        <v>1414</v>
      </c>
      <c r="V332" s="16"/>
      <c r="W332">
        <f t="shared" si="51"/>
        <v>196.388888888889</v>
      </c>
      <c r="X332">
        <f t="shared" si="52"/>
        <v>1767.5</v>
      </c>
      <c r="Y332">
        <f t="shared" si="53"/>
        <v>27.8565799842395</v>
      </c>
      <c r="Z332">
        <f t="shared" si="54"/>
        <v>250.709219858156</v>
      </c>
      <c r="AA332">
        <f t="shared" si="55"/>
        <v>0.05656</v>
      </c>
    </row>
    <row r="333" ht="69.6" spans="1:27">
      <c r="A333" s="10">
        <v>75</v>
      </c>
      <c r="B333" s="10" t="s">
        <v>25</v>
      </c>
      <c r="C333" s="10"/>
      <c r="D333" s="5">
        <f t="shared" ref="D333:D341" si="57">A333</f>
        <v>75</v>
      </c>
      <c r="E333" s="5" t="s">
        <v>26</v>
      </c>
      <c r="F333" s="20" t="s">
        <v>340</v>
      </c>
      <c r="G333" s="9" t="s">
        <v>150</v>
      </c>
      <c r="H333" s="9" t="s">
        <v>196</v>
      </c>
      <c r="I333" s="9" t="s">
        <v>108</v>
      </c>
      <c r="J333" s="9"/>
      <c r="K333" s="9" t="s">
        <v>31</v>
      </c>
      <c r="L333" s="9" t="s">
        <v>291</v>
      </c>
      <c r="M333" s="9" t="s">
        <v>439</v>
      </c>
      <c r="N333" s="22" t="s">
        <v>459</v>
      </c>
      <c r="O333" s="5">
        <v>75</v>
      </c>
      <c r="P333" s="5" t="s">
        <v>26</v>
      </c>
      <c r="Q333" s="10"/>
      <c r="R333" s="17"/>
      <c r="S333" s="17"/>
      <c r="T333" s="18">
        <v>145.888888888889</v>
      </c>
      <c r="U333" s="18">
        <v>10941.6666666667</v>
      </c>
      <c r="V333" s="16"/>
      <c r="W333">
        <f t="shared" si="51"/>
        <v>182.361111111111</v>
      </c>
      <c r="X333">
        <f t="shared" si="52"/>
        <v>13677.0833333333</v>
      </c>
      <c r="Y333">
        <f t="shared" si="53"/>
        <v>25.8668242710796</v>
      </c>
      <c r="Z333">
        <f t="shared" si="54"/>
        <v>1940.01182033097</v>
      </c>
      <c r="AA333">
        <f t="shared" si="55"/>
        <v>0.437666666666668</v>
      </c>
    </row>
    <row r="334" ht="66" spans="1:27">
      <c r="A334" s="10">
        <v>1</v>
      </c>
      <c r="B334" s="10" t="s">
        <v>25</v>
      </c>
      <c r="C334" s="10"/>
      <c r="D334" s="5">
        <f t="shared" si="57"/>
        <v>1</v>
      </c>
      <c r="E334" s="5" t="s">
        <v>26</v>
      </c>
      <c r="F334" s="20" t="s">
        <v>352</v>
      </c>
      <c r="G334" s="9" t="s">
        <v>42</v>
      </c>
      <c r="H334" s="9" t="s">
        <v>66</v>
      </c>
      <c r="I334" s="9" t="s">
        <v>67</v>
      </c>
      <c r="J334" s="9" t="s">
        <v>98</v>
      </c>
      <c r="K334" s="9" t="s">
        <v>44</v>
      </c>
      <c r="L334" s="9" t="s">
        <v>288</v>
      </c>
      <c r="M334" s="9" t="s">
        <v>460</v>
      </c>
      <c r="N334" s="22" t="s">
        <v>459</v>
      </c>
      <c r="O334" s="5">
        <v>1</v>
      </c>
      <c r="P334" s="5" t="s">
        <v>26</v>
      </c>
      <c r="Q334" s="10"/>
      <c r="R334" s="17"/>
      <c r="S334" s="17"/>
      <c r="T334" s="18">
        <v>754.47</v>
      </c>
      <c r="U334" s="18">
        <v>754.47</v>
      </c>
      <c r="V334" s="16"/>
      <c r="W334">
        <f t="shared" si="51"/>
        <v>943.0875</v>
      </c>
      <c r="X334">
        <f t="shared" si="52"/>
        <v>943.0875</v>
      </c>
      <c r="Y334">
        <f t="shared" si="53"/>
        <v>133.771276595745</v>
      </c>
      <c r="Z334">
        <f t="shared" si="54"/>
        <v>133.771276595745</v>
      </c>
      <c r="AA334">
        <f t="shared" si="55"/>
        <v>0.0301788</v>
      </c>
    </row>
    <row r="335" ht="69.6" spans="1:27">
      <c r="A335" s="10">
        <v>72</v>
      </c>
      <c r="B335" s="10" t="s">
        <v>25</v>
      </c>
      <c r="C335" s="10"/>
      <c r="D335" s="5">
        <f t="shared" si="57"/>
        <v>72</v>
      </c>
      <c r="E335" s="5" t="s">
        <v>26</v>
      </c>
      <c r="F335" s="20" t="s">
        <v>356</v>
      </c>
      <c r="G335" s="9" t="s">
        <v>28</v>
      </c>
      <c r="H335" s="9" t="s">
        <v>74</v>
      </c>
      <c r="I335" s="9" t="s">
        <v>75</v>
      </c>
      <c r="J335" s="9"/>
      <c r="K335" s="9" t="s">
        <v>254</v>
      </c>
      <c r="L335" s="9" t="s">
        <v>288</v>
      </c>
      <c r="M335" s="9" t="s">
        <v>441</v>
      </c>
      <c r="N335" s="22" t="s">
        <v>459</v>
      </c>
      <c r="O335" s="5">
        <v>72</v>
      </c>
      <c r="P335" s="5" t="s">
        <v>26</v>
      </c>
      <c r="Q335" s="10"/>
      <c r="R335" s="17"/>
      <c r="S335" s="17"/>
      <c r="T335" s="18">
        <v>50.5</v>
      </c>
      <c r="U335" s="18">
        <v>3636</v>
      </c>
      <c r="V335" s="16"/>
      <c r="W335">
        <f t="shared" si="51"/>
        <v>63.125</v>
      </c>
      <c r="X335">
        <f t="shared" si="52"/>
        <v>4545</v>
      </c>
      <c r="Y335">
        <f t="shared" si="53"/>
        <v>8.95390070921986</v>
      </c>
      <c r="Z335">
        <f t="shared" si="54"/>
        <v>644.68085106383</v>
      </c>
      <c r="AA335">
        <f t="shared" si="55"/>
        <v>0.14544</v>
      </c>
    </row>
    <row r="336" ht="66" spans="1:27">
      <c r="A336" s="10">
        <v>1</v>
      </c>
      <c r="B336" s="10" t="s">
        <v>25</v>
      </c>
      <c r="C336" s="10"/>
      <c r="D336" s="5">
        <f t="shared" si="57"/>
        <v>1</v>
      </c>
      <c r="E336" s="5" t="s">
        <v>26</v>
      </c>
      <c r="F336" s="20" t="s">
        <v>358</v>
      </c>
      <c r="G336" s="9" t="s">
        <v>42</v>
      </c>
      <c r="H336" s="9" t="s">
        <v>72</v>
      </c>
      <c r="I336" s="9" t="s">
        <v>64</v>
      </c>
      <c r="J336" s="9" t="s">
        <v>94</v>
      </c>
      <c r="K336" s="9" t="s">
        <v>44</v>
      </c>
      <c r="L336" s="9" t="s">
        <v>288</v>
      </c>
      <c r="M336" s="9" t="s">
        <v>242</v>
      </c>
      <c r="N336" s="22" t="s">
        <v>459</v>
      </c>
      <c r="O336" s="5">
        <v>1</v>
      </c>
      <c r="P336" s="5" t="s">
        <v>26</v>
      </c>
      <c r="Q336" s="10"/>
      <c r="R336" s="17"/>
      <c r="S336" s="17"/>
      <c r="T336" s="18">
        <v>101</v>
      </c>
      <c r="U336" s="18">
        <v>101</v>
      </c>
      <c r="V336" s="16"/>
      <c r="W336">
        <f t="shared" si="51"/>
        <v>126.25</v>
      </c>
      <c r="X336">
        <f t="shared" si="52"/>
        <v>126.25</v>
      </c>
      <c r="Y336">
        <f t="shared" si="53"/>
        <v>17.9078014184397</v>
      </c>
      <c r="Z336">
        <f t="shared" si="54"/>
        <v>17.9078014184397</v>
      </c>
      <c r="AA336">
        <f t="shared" si="55"/>
        <v>0.00404</v>
      </c>
    </row>
    <row r="337" ht="88.8" spans="1:27">
      <c r="A337" s="10">
        <v>2</v>
      </c>
      <c r="B337" s="10" t="s">
        <v>25</v>
      </c>
      <c r="C337" s="10"/>
      <c r="D337" s="5">
        <f t="shared" si="57"/>
        <v>2</v>
      </c>
      <c r="E337" s="5" t="s">
        <v>26</v>
      </c>
      <c r="F337" s="20" t="s">
        <v>359</v>
      </c>
      <c r="G337" s="9" t="s">
        <v>162</v>
      </c>
      <c r="H337" s="9" t="s">
        <v>236</v>
      </c>
      <c r="I337" s="9"/>
      <c r="J337" s="9" t="s">
        <v>94</v>
      </c>
      <c r="K337" s="9" t="s">
        <v>99</v>
      </c>
      <c r="L337" s="9" t="s">
        <v>288</v>
      </c>
      <c r="M337" s="9" t="s">
        <v>440</v>
      </c>
      <c r="N337" s="22" t="s">
        <v>459</v>
      </c>
      <c r="O337" s="5">
        <v>2</v>
      </c>
      <c r="P337" s="5" t="s">
        <v>26</v>
      </c>
      <c r="Q337" s="10"/>
      <c r="R337" s="17"/>
      <c r="S337" s="17"/>
      <c r="T337" s="18">
        <v>162.61</v>
      </c>
      <c r="U337" s="18">
        <v>325.22</v>
      </c>
      <c r="V337" s="16"/>
      <c r="W337">
        <f t="shared" si="51"/>
        <v>203.2625</v>
      </c>
      <c r="X337">
        <f t="shared" si="52"/>
        <v>406.525</v>
      </c>
      <c r="Y337">
        <f t="shared" si="53"/>
        <v>28.8315602836879</v>
      </c>
      <c r="Z337">
        <f t="shared" si="54"/>
        <v>57.6631205673759</v>
      </c>
      <c r="AA337">
        <f t="shared" si="55"/>
        <v>0.0130088</v>
      </c>
    </row>
    <row r="338" ht="66" spans="1:27">
      <c r="A338" s="10">
        <v>1</v>
      </c>
      <c r="B338" s="10" t="s">
        <v>25</v>
      </c>
      <c r="C338" s="10"/>
      <c r="D338" s="5">
        <f t="shared" si="57"/>
        <v>1</v>
      </c>
      <c r="E338" s="5" t="s">
        <v>26</v>
      </c>
      <c r="F338" s="20" t="s">
        <v>360</v>
      </c>
      <c r="G338" s="9" t="s">
        <v>42</v>
      </c>
      <c r="H338" s="9" t="s">
        <v>57</v>
      </c>
      <c r="I338" s="9" t="s">
        <v>55</v>
      </c>
      <c r="J338" s="9" t="s">
        <v>98</v>
      </c>
      <c r="K338" s="9" t="s">
        <v>99</v>
      </c>
      <c r="L338" s="9" t="s">
        <v>288</v>
      </c>
      <c r="M338" s="9" t="s">
        <v>361</v>
      </c>
      <c r="N338" s="22" t="s">
        <v>459</v>
      </c>
      <c r="O338" s="5">
        <v>1</v>
      </c>
      <c r="P338" s="5" t="s">
        <v>26</v>
      </c>
      <c r="Q338" s="10"/>
      <c r="R338" s="17"/>
      <c r="S338" s="17"/>
      <c r="T338" s="18">
        <v>275.73</v>
      </c>
      <c r="U338" s="18">
        <v>275.73</v>
      </c>
      <c r="V338" s="16"/>
      <c r="W338">
        <f t="shared" si="51"/>
        <v>344.6625</v>
      </c>
      <c r="X338">
        <f t="shared" si="52"/>
        <v>344.6625</v>
      </c>
      <c r="Y338">
        <f t="shared" si="53"/>
        <v>48.8882978723404</v>
      </c>
      <c r="Z338">
        <f t="shared" si="54"/>
        <v>48.8882978723404</v>
      </c>
      <c r="AA338">
        <f t="shared" si="55"/>
        <v>0.0110292</v>
      </c>
    </row>
    <row r="339" ht="66" spans="1:27">
      <c r="A339" s="10">
        <v>2</v>
      </c>
      <c r="B339" s="10" t="s">
        <v>25</v>
      </c>
      <c r="C339" s="10"/>
      <c r="D339" s="5">
        <f t="shared" si="57"/>
        <v>2</v>
      </c>
      <c r="E339" s="5" t="s">
        <v>26</v>
      </c>
      <c r="F339" s="20" t="s">
        <v>362</v>
      </c>
      <c r="G339" s="9" t="s">
        <v>42</v>
      </c>
      <c r="H339" s="9" t="s">
        <v>74</v>
      </c>
      <c r="I339" s="9" t="s">
        <v>75</v>
      </c>
      <c r="J339" s="9" t="s">
        <v>94</v>
      </c>
      <c r="K339" s="9" t="s">
        <v>99</v>
      </c>
      <c r="L339" s="9" t="s">
        <v>288</v>
      </c>
      <c r="M339" s="9" t="s">
        <v>363</v>
      </c>
      <c r="N339" s="22" t="s">
        <v>459</v>
      </c>
      <c r="O339" s="5">
        <v>2</v>
      </c>
      <c r="P339" s="5" t="s">
        <v>26</v>
      </c>
      <c r="Q339" s="10"/>
      <c r="R339" s="17"/>
      <c r="S339" s="17"/>
      <c r="T339" s="18">
        <v>151.5</v>
      </c>
      <c r="U339" s="18">
        <v>303</v>
      </c>
      <c r="V339" s="16"/>
      <c r="W339">
        <f t="shared" si="51"/>
        <v>189.375</v>
      </c>
      <c r="X339">
        <f t="shared" si="52"/>
        <v>378.75</v>
      </c>
      <c r="Y339">
        <f t="shared" si="53"/>
        <v>26.8617021276596</v>
      </c>
      <c r="Z339">
        <f t="shared" si="54"/>
        <v>53.7234042553192</v>
      </c>
      <c r="AA339">
        <f t="shared" si="55"/>
        <v>0.01212</v>
      </c>
    </row>
    <row r="340" ht="73.2" spans="1:27">
      <c r="A340" s="10">
        <v>20</v>
      </c>
      <c r="B340" s="5" t="s">
        <v>25</v>
      </c>
      <c r="C340" s="5"/>
      <c r="D340" s="5">
        <f t="shared" si="57"/>
        <v>20</v>
      </c>
      <c r="E340" s="5" t="s">
        <v>26</v>
      </c>
      <c r="F340" s="6" t="s">
        <v>27</v>
      </c>
      <c r="G340" s="9" t="s">
        <v>28</v>
      </c>
      <c r="H340" s="9" t="s">
        <v>29</v>
      </c>
      <c r="I340" s="9" t="s">
        <v>30</v>
      </c>
      <c r="J340" s="9"/>
      <c r="K340" s="9" t="s">
        <v>31</v>
      </c>
      <c r="L340" s="9" t="s">
        <v>60</v>
      </c>
      <c r="M340" s="9" t="s">
        <v>461</v>
      </c>
      <c r="N340" s="12" t="s">
        <v>458</v>
      </c>
      <c r="O340" s="5">
        <v>20</v>
      </c>
      <c r="P340" s="5" t="s">
        <v>26</v>
      </c>
      <c r="Q340" s="5" t="s">
        <v>35</v>
      </c>
      <c r="R340" s="17"/>
      <c r="S340" s="17"/>
      <c r="T340" s="18">
        <v>38.1555555555556</v>
      </c>
      <c r="U340" s="18">
        <v>763.111111111112</v>
      </c>
      <c r="V340" s="16"/>
      <c r="W340">
        <f t="shared" si="51"/>
        <v>47.6944444444445</v>
      </c>
      <c r="X340">
        <f t="shared" si="52"/>
        <v>953.88888888889</v>
      </c>
      <c r="Y340">
        <f t="shared" si="53"/>
        <v>6.7651694247439</v>
      </c>
      <c r="Z340">
        <f t="shared" si="54"/>
        <v>135.303388494878</v>
      </c>
      <c r="AA340">
        <f t="shared" si="55"/>
        <v>0.0305244444444445</v>
      </c>
    </row>
    <row r="341" ht="73.2" spans="1:27">
      <c r="A341" s="10">
        <v>133</v>
      </c>
      <c r="B341" s="5" t="s">
        <v>25</v>
      </c>
      <c r="C341" s="5"/>
      <c r="D341" s="5">
        <f t="shared" si="57"/>
        <v>133</v>
      </c>
      <c r="E341" s="5" t="s">
        <v>26</v>
      </c>
      <c r="F341" s="6" t="s">
        <v>36</v>
      </c>
      <c r="G341" s="9" t="s">
        <v>37</v>
      </c>
      <c r="H341" s="9" t="s">
        <v>29</v>
      </c>
      <c r="I341" s="9" t="s">
        <v>30</v>
      </c>
      <c r="J341" s="9"/>
      <c r="K341" s="9" t="s">
        <v>31</v>
      </c>
      <c r="L341" s="9" t="s">
        <v>60</v>
      </c>
      <c r="M341" s="9" t="s">
        <v>461</v>
      </c>
      <c r="N341" s="12" t="s">
        <v>458</v>
      </c>
      <c r="O341" s="5">
        <v>133</v>
      </c>
      <c r="P341" s="5" t="s">
        <v>26</v>
      </c>
      <c r="Q341" s="5" t="s">
        <v>35</v>
      </c>
      <c r="R341" s="17"/>
      <c r="S341" s="17"/>
      <c r="T341" s="18">
        <v>63.9666666666667</v>
      </c>
      <c r="U341" s="18">
        <v>8507.56666666667</v>
      </c>
      <c r="V341" s="16"/>
      <c r="W341">
        <f t="shared" si="51"/>
        <v>79.9583333333334</v>
      </c>
      <c r="X341">
        <f t="shared" si="52"/>
        <v>10634.4583333333</v>
      </c>
      <c r="Y341">
        <f t="shared" si="53"/>
        <v>11.3416075650118</v>
      </c>
      <c r="Z341">
        <f t="shared" si="54"/>
        <v>1508.43380614657</v>
      </c>
      <c r="AA341">
        <f t="shared" si="55"/>
        <v>0.340302666666667</v>
      </c>
    </row>
    <row r="342" ht="54" spans="1:27">
      <c r="A342" s="5">
        <v>18</v>
      </c>
      <c r="B342" s="10" t="s">
        <v>25</v>
      </c>
      <c r="C342" s="10"/>
      <c r="D342" s="5">
        <f t="shared" ref="D342:D373" si="58">A342</f>
        <v>18</v>
      </c>
      <c r="E342" s="5" t="s">
        <v>26</v>
      </c>
      <c r="F342" s="6" t="s">
        <v>38</v>
      </c>
      <c r="G342" s="9" t="s">
        <v>39</v>
      </c>
      <c r="H342" s="9" t="s">
        <v>29</v>
      </c>
      <c r="I342" s="9" t="s">
        <v>30</v>
      </c>
      <c r="J342" s="9"/>
      <c r="K342" s="9" t="s">
        <v>31</v>
      </c>
      <c r="L342" s="9" t="s">
        <v>60</v>
      </c>
      <c r="M342" s="9" t="s">
        <v>430</v>
      </c>
      <c r="N342" s="23" t="s">
        <v>458</v>
      </c>
      <c r="O342" s="5">
        <v>18</v>
      </c>
      <c r="P342" s="5" t="s">
        <v>26</v>
      </c>
      <c r="Q342" s="5" t="s">
        <v>35</v>
      </c>
      <c r="R342" s="17"/>
      <c r="S342" s="17"/>
      <c r="T342" s="18">
        <v>215.466666666667</v>
      </c>
      <c r="U342" s="18">
        <v>3878.40000000001</v>
      </c>
      <c r="V342" s="16"/>
      <c r="W342">
        <f t="shared" si="51"/>
        <v>269.333333333334</v>
      </c>
      <c r="X342">
        <f t="shared" si="52"/>
        <v>4848.00000000001</v>
      </c>
      <c r="Y342">
        <f t="shared" si="53"/>
        <v>38.2033096926715</v>
      </c>
      <c r="Z342">
        <f t="shared" si="54"/>
        <v>687.659574468086</v>
      </c>
      <c r="AA342">
        <f t="shared" si="55"/>
        <v>0.155136</v>
      </c>
    </row>
    <row r="343" ht="66" spans="1:27">
      <c r="A343" s="5">
        <v>74</v>
      </c>
      <c r="B343" s="10" t="s">
        <v>25</v>
      </c>
      <c r="C343" s="10"/>
      <c r="D343" s="5">
        <f t="shared" si="58"/>
        <v>74</v>
      </c>
      <c r="E343" s="5" t="s">
        <v>26</v>
      </c>
      <c r="F343" s="6" t="s">
        <v>41</v>
      </c>
      <c r="G343" s="9" t="s">
        <v>42</v>
      </c>
      <c r="H343" s="9" t="s">
        <v>29</v>
      </c>
      <c r="I343" s="9" t="s">
        <v>30</v>
      </c>
      <c r="J343" s="9" t="s">
        <v>43</v>
      </c>
      <c r="K343" s="9" t="s">
        <v>44</v>
      </c>
      <c r="L343" s="9" t="s">
        <v>95</v>
      </c>
      <c r="M343" s="9" t="s">
        <v>431</v>
      </c>
      <c r="N343" s="23" t="s">
        <v>458</v>
      </c>
      <c r="O343" s="5">
        <v>74</v>
      </c>
      <c r="P343" s="5" t="s">
        <v>26</v>
      </c>
      <c r="Q343" s="5" t="s">
        <v>35</v>
      </c>
      <c r="R343" s="17"/>
      <c r="S343" s="17"/>
      <c r="T343" s="18">
        <v>254.52</v>
      </c>
      <c r="U343" s="18">
        <v>18834.48</v>
      </c>
      <c r="V343" s="16"/>
      <c r="W343">
        <f t="shared" si="51"/>
        <v>318.15</v>
      </c>
      <c r="X343">
        <f t="shared" si="52"/>
        <v>23543.1</v>
      </c>
      <c r="Y343">
        <f t="shared" si="53"/>
        <v>45.1276595744681</v>
      </c>
      <c r="Z343">
        <f t="shared" si="54"/>
        <v>3339.44680851064</v>
      </c>
      <c r="AA343">
        <f t="shared" si="55"/>
        <v>0.7533792</v>
      </c>
    </row>
    <row r="344" ht="54" spans="1:27">
      <c r="A344" s="5">
        <v>46</v>
      </c>
      <c r="B344" s="10" t="s">
        <v>25</v>
      </c>
      <c r="C344" s="10"/>
      <c r="D344" s="5">
        <f t="shared" si="58"/>
        <v>46</v>
      </c>
      <c r="E344" s="5" t="s">
        <v>26</v>
      </c>
      <c r="F344" s="6" t="s">
        <v>47</v>
      </c>
      <c r="G344" s="9" t="s">
        <v>93</v>
      </c>
      <c r="H344" s="9" t="s">
        <v>29</v>
      </c>
      <c r="I344" s="9"/>
      <c r="J344" s="9" t="s">
        <v>43</v>
      </c>
      <c r="K344" s="9" t="s">
        <v>44</v>
      </c>
      <c r="L344" s="9" t="s">
        <v>95</v>
      </c>
      <c r="M344" s="9" t="s">
        <v>432</v>
      </c>
      <c r="N344" s="23" t="s">
        <v>458</v>
      </c>
      <c r="O344" s="5">
        <v>46</v>
      </c>
      <c r="P344" s="5" t="s">
        <v>26</v>
      </c>
      <c r="Q344" s="5" t="s">
        <v>35</v>
      </c>
      <c r="R344" s="17"/>
      <c r="S344" s="17"/>
      <c r="T344" s="18">
        <v>242.4</v>
      </c>
      <c r="U344" s="18">
        <v>11150.4</v>
      </c>
      <c r="V344" s="16"/>
      <c r="W344">
        <f t="shared" si="51"/>
        <v>303</v>
      </c>
      <c r="X344">
        <f t="shared" si="52"/>
        <v>13938</v>
      </c>
      <c r="Y344">
        <f t="shared" si="53"/>
        <v>42.9787234042553</v>
      </c>
      <c r="Z344">
        <f t="shared" si="54"/>
        <v>1977.02127659574</v>
      </c>
      <c r="AA344">
        <f t="shared" si="55"/>
        <v>0.446016</v>
      </c>
    </row>
    <row r="345" ht="69.6" spans="1:27">
      <c r="A345" s="10">
        <v>6</v>
      </c>
      <c r="B345" s="5" t="s">
        <v>25</v>
      </c>
      <c r="C345" s="5"/>
      <c r="D345" s="5">
        <f t="shared" si="58"/>
        <v>6</v>
      </c>
      <c r="E345" s="5" t="s">
        <v>26</v>
      </c>
      <c r="F345" s="6" t="s">
        <v>49</v>
      </c>
      <c r="G345" s="9" t="s">
        <v>28</v>
      </c>
      <c r="H345" s="9" t="s">
        <v>50</v>
      </c>
      <c r="I345" s="9" t="s">
        <v>51</v>
      </c>
      <c r="J345" s="9"/>
      <c r="K345" s="9" t="s">
        <v>31</v>
      </c>
      <c r="L345" s="9" t="s">
        <v>60</v>
      </c>
      <c r="M345" s="9" t="s">
        <v>433</v>
      </c>
      <c r="N345" s="13" t="s">
        <v>462</v>
      </c>
      <c r="O345" s="5">
        <v>6</v>
      </c>
      <c r="P345" s="5" t="s">
        <v>26</v>
      </c>
      <c r="Q345" s="5"/>
      <c r="R345" s="17"/>
      <c r="S345" s="17"/>
      <c r="T345" s="18">
        <v>934.811111111111</v>
      </c>
      <c r="U345" s="18">
        <v>5608.86666666667</v>
      </c>
      <c r="V345" s="16" t="s">
        <v>81</v>
      </c>
      <c r="W345">
        <f t="shared" si="51"/>
        <v>1168.51388888889</v>
      </c>
      <c r="X345">
        <f t="shared" si="52"/>
        <v>7011.08333333333</v>
      </c>
      <c r="Y345">
        <f t="shared" si="53"/>
        <v>165.746650906225</v>
      </c>
      <c r="Z345">
        <f t="shared" si="54"/>
        <v>994.479905437352</v>
      </c>
      <c r="AA345">
        <f t="shared" si="55"/>
        <v>0.224354666666667</v>
      </c>
    </row>
    <row r="346" ht="54" spans="1:27">
      <c r="A346" s="10">
        <v>30</v>
      </c>
      <c r="B346" s="5" t="s">
        <v>25</v>
      </c>
      <c r="C346" s="5"/>
      <c r="D346" s="5">
        <f t="shared" si="58"/>
        <v>30</v>
      </c>
      <c r="E346" s="5" t="s">
        <v>26</v>
      </c>
      <c r="F346" s="6" t="s">
        <v>58</v>
      </c>
      <c r="G346" s="9" t="s">
        <v>28</v>
      </c>
      <c r="H346" s="9" t="s">
        <v>59</v>
      </c>
      <c r="I346" s="9" t="s">
        <v>55</v>
      </c>
      <c r="J346" s="9"/>
      <c r="K346" s="9" t="s">
        <v>31</v>
      </c>
      <c r="L346" s="9" t="s">
        <v>60</v>
      </c>
      <c r="M346" s="9" t="s">
        <v>61</v>
      </c>
      <c r="N346" s="13" t="s">
        <v>462</v>
      </c>
      <c r="O346" s="5">
        <v>30</v>
      </c>
      <c r="P346" s="5" t="s">
        <v>26</v>
      </c>
      <c r="Q346" s="5"/>
      <c r="R346" s="17"/>
      <c r="S346" s="17"/>
      <c r="T346" s="18">
        <v>70.7</v>
      </c>
      <c r="U346" s="18">
        <v>2121</v>
      </c>
      <c r="V346" s="16"/>
      <c r="W346">
        <f t="shared" si="51"/>
        <v>88.375</v>
      </c>
      <c r="X346">
        <f t="shared" si="52"/>
        <v>2651.25</v>
      </c>
      <c r="Y346">
        <f t="shared" si="53"/>
        <v>12.5354609929078</v>
      </c>
      <c r="Z346">
        <f t="shared" si="54"/>
        <v>376.063829787234</v>
      </c>
      <c r="AA346">
        <f t="shared" si="55"/>
        <v>0.08484</v>
      </c>
    </row>
    <row r="347" ht="54" spans="1:27">
      <c r="A347" s="10">
        <v>3</v>
      </c>
      <c r="B347" s="5" t="s">
        <v>25</v>
      </c>
      <c r="C347" s="5"/>
      <c r="D347" s="5">
        <f t="shared" si="58"/>
        <v>3</v>
      </c>
      <c r="E347" s="5" t="s">
        <v>26</v>
      </c>
      <c r="F347" s="6" t="s">
        <v>68</v>
      </c>
      <c r="G347" s="9" t="s">
        <v>28</v>
      </c>
      <c r="H347" s="9" t="s">
        <v>69</v>
      </c>
      <c r="I347" s="9" t="s">
        <v>64</v>
      </c>
      <c r="J347" s="9"/>
      <c r="K347" s="9" t="s">
        <v>31</v>
      </c>
      <c r="L347" s="9" t="s">
        <v>60</v>
      </c>
      <c r="M347" s="9" t="s">
        <v>247</v>
      </c>
      <c r="N347" s="13" t="s">
        <v>462</v>
      </c>
      <c r="O347" s="5">
        <v>3</v>
      </c>
      <c r="P347" s="5" t="s">
        <v>26</v>
      </c>
      <c r="Q347" s="5"/>
      <c r="R347" s="17"/>
      <c r="S347" s="17"/>
      <c r="T347" s="18">
        <v>22.4444444444444</v>
      </c>
      <c r="U347" s="18">
        <v>67.3333333333332</v>
      </c>
      <c r="V347" s="16"/>
      <c r="W347">
        <f t="shared" si="51"/>
        <v>28.0555555555555</v>
      </c>
      <c r="X347">
        <f t="shared" si="52"/>
        <v>84.1666666666665</v>
      </c>
      <c r="Y347">
        <f t="shared" si="53"/>
        <v>3.97951142631993</v>
      </c>
      <c r="Z347">
        <f t="shared" si="54"/>
        <v>11.9385342789598</v>
      </c>
      <c r="AA347">
        <f t="shared" si="55"/>
        <v>0.00269333333333333</v>
      </c>
    </row>
    <row r="348" ht="54" spans="1:27">
      <c r="A348" s="10">
        <v>17</v>
      </c>
      <c r="B348" s="5" t="s">
        <v>25</v>
      </c>
      <c r="C348" s="5"/>
      <c r="D348" s="5">
        <f t="shared" si="58"/>
        <v>17</v>
      </c>
      <c r="E348" s="5" t="s">
        <v>26</v>
      </c>
      <c r="F348" s="6" t="s">
        <v>71</v>
      </c>
      <c r="G348" s="9" t="s">
        <v>28</v>
      </c>
      <c r="H348" s="9" t="s">
        <v>72</v>
      </c>
      <c r="I348" s="9" t="s">
        <v>64</v>
      </c>
      <c r="J348" s="9"/>
      <c r="K348" s="9" t="s">
        <v>31</v>
      </c>
      <c r="L348" s="9" t="s">
        <v>60</v>
      </c>
      <c r="M348" s="9" t="s">
        <v>70</v>
      </c>
      <c r="N348" s="13" t="s">
        <v>462</v>
      </c>
      <c r="O348" s="5">
        <v>17</v>
      </c>
      <c r="P348" s="5" t="s">
        <v>26</v>
      </c>
      <c r="Q348" s="5"/>
      <c r="R348" s="17"/>
      <c r="S348" s="17"/>
      <c r="T348" s="18">
        <v>33.6666666666667</v>
      </c>
      <c r="U348" s="18">
        <v>572.333333333334</v>
      </c>
      <c r="V348" s="16"/>
      <c r="W348">
        <f t="shared" si="51"/>
        <v>42.0833333333334</v>
      </c>
      <c r="X348">
        <f t="shared" si="52"/>
        <v>715.416666666667</v>
      </c>
      <c r="Y348">
        <f t="shared" si="53"/>
        <v>5.96926713947991</v>
      </c>
      <c r="Z348">
        <f t="shared" si="54"/>
        <v>101.477541371158</v>
      </c>
      <c r="AA348">
        <f t="shared" si="55"/>
        <v>0.0228933333333334</v>
      </c>
    </row>
    <row r="349" ht="54" spans="1:27">
      <c r="A349" s="10">
        <v>5</v>
      </c>
      <c r="B349" s="5" t="s">
        <v>25</v>
      </c>
      <c r="C349" s="5"/>
      <c r="D349" s="5">
        <f t="shared" si="58"/>
        <v>5</v>
      </c>
      <c r="E349" s="5" t="s">
        <v>26</v>
      </c>
      <c r="F349" s="6" t="s">
        <v>73</v>
      </c>
      <c r="G349" s="9" t="s">
        <v>37</v>
      </c>
      <c r="H349" s="9" t="s">
        <v>74</v>
      </c>
      <c r="I349" s="9" t="s">
        <v>75</v>
      </c>
      <c r="J349" s="9"/>
      <c r="K349" s="9" t="s">
        <v>31</v>
      </c>
      <c r="L349" s="9" t="s">
        <v>60</v>
      </c>
      <c r="M349" s="9" t="s">
        <v>61</v>
      </c>
      <c r="N349" s="13" t="s">
        <v>462</v>
      </c>
      <c r="O349" s="5">
        <v>5</v>
      </c>
      <c r="P349" s="5" t="s">
        <v>26</v>
      </c>
      <c r="Q349" s="5"/>
      <c r="R349" s="17"/>
      <c r="S349" s="17"/>
      <c r="T349" s="18">
        <v>20.2</v>
      </c>
      <c r="U349" s="18">
        <v>101</v>
      </c>
      <c r="V349" s="16"/>
      <c r="W349">
        <f t="shared" si="51"/>
        <v>25.25</v>
      </c>
      <c r="X349">
        <f t="shared" si="52"/>
        <v>126.25</v>
      </c>
      <c r="Y349">
        <f t="shared" si="53"/>
        <v>3.58156028368794</v>
      </c>
      <c r="Z349">
        <f t="shared" si="54"/>
        <v>17.9078014184397</v>
      </c>
      <c r="AA349">
        <f t="shared" si="55"/>
        <v>0.00404</v>
      </c>
    </row>
    <row r="350" ht="54" spans="1:27">
      <c r="A350" s="10">
        <v>21</v>
      </c>
      <c r="B350" s="5" t="s">
        <v>25</v>
      </c>
      <c r="C350" s="5"/>
      <c r="D350" s="5">
        <f t="shared" si="58"/>
        <v>21</v>
      </c>
      <c r="E350" s="5" t="s">
        <v>26</v>
      </c>
      <c r="F350" s="6" t="s">
        <v>88</v>
      </c>
      <c r="G350" s="9" t="s">
        <v>37</v>
      </c>
      <c r="H350" s="9" t="s">
        <v>77</v>
      </c>
      <c r="I350" s="9" t="s">
        <v>64</v>
      </c>
      <c r="J350" s="9"/>
      <c r="K350" s="9" t="s">
        <v>31</v>
      </c>
      <c r="L350" s="9" t="s">
        <v>60</v>
      </c>
      <c r="M350" s="9" t="s">
        <v>70</v>
      </c>
      <c r="N350" s="13" t="s">
        <v>462</v>
      </c>
      <c r="O350" s="5">
        <v>21</v>
      </c>
      <c r="P350" s="5" t="s">
        <v>26</v>
      </c>
      <c r="Q350" s="5"/>
      <c r="R350" s="17"/>
      <c r="S350" s="17"/>
      <c r="T350" s="18">
        <v>32.5444444444444</v>
      </c>
      <c r="U350" s="18">
        <v>683.433333333332</v>
      </c>
      <c r="V350" s="16"/>
      <c r="W350">
        <f t="shared" si="51"/>
        <v>40.6805555555555</v>
      </c>
      <c r="X350">
        <f t="shared" si="52"/>
        <v>854.291666666665</v>
      </c>
      <c r="Y350">
        <f t="shared" si="53"/>
        <v>5.7702915681639</v>
      </c>
      <c r="Z350">
        <f t="shared" si="54"/>
        <v>121.176122931442</v>
      </c>
      <c r="AA350">
        <f t="shared" si="55"/>
        <v>0.0273373333333333</v>
      </c>
    </row>
    <row r="351" ht="54" spans="1:27">
      <c r="A351" s="10">
        <v>45</v>
      </c>
      <c r="B351" s="5" t="s">
        <v>25</v>
      </c>
      <c r="C351" s="5"/>
      <c r="D351" s="5">
        <f t="shared" si="58"/>
        <v>45</v>
      </c>
      <c r="E351" s="5" t="s">
        <v>26</v>
      </c>
      <c r="F351" s="6" t="s">
        <v>90</v>
      </c>
      <c r="G351" s="9" t="s">
        <v>37</v>
      </c>
      <c r="H351" s="9" t="s">
        <v>72</v>
      </c>
      <c r="I351" s="9" t="s">
        <v>64</v>
      </c>
      <c r="J351" s="9"/>
      <c r="K351" s="9" t="s">
        <v>31</v>
      </c>
      <c r="L351" s="9" t="s">
        <v>60</v>
      </c>
      <c r="M351" s="9" t="s">
        <v>70</v>
      </c>
      <c r="N351" s="13" t="s">
        <v>462</v>
      </c>
      <c r="O351" s="5">
        <v>45</v>
      </c>
      <c r="P351" s="5" t="s">
        <v>26</v>
      </c>
      <c r="Q351" s="5"/>
      <c r="R351" s="17"/>
      <c r="S351" s="17"/>
      <c r="T351" s="18">
        <v>40.4</v>
      </c>
      <c r="U351" s="18">
        <v>1818</v>
      </c>
      <c r="V351" s="16"/>
      <c r="W351">
        <f t="shared" si="51"/>
        <v>50.5</v>
      </c>
      <c r="X351">
        <f t="shared" si="52"/>
        <v>2272.5</v>
      </c>
      <c r="Y351">
        <f t="shared" si="53"/>
        <v>7.16312056737589</v>
      </c>
      <c r="Z351">
        <f t="shared" si="54"/>
        <v>322.340425531915</v>
      </c>
      <c r="AA351">
        <f t="shared" si="55"/>
        <v>0.07272</v>
      </c>
    </row>
    <row r="352" ht="54" spans="1:27">
      <c r="A352" s="10">
        <v>47</v>
      </c>
      <c r="B352" s="5" t="s">
        <v>25</v>
      </c>
      <c r="C352" s="5"/>
      <c r="D352" s="5">
        <f t="shared" si="58"/>
        <v>47</v>
      </c>
      <c r="E352" s="5" t="s">
        <v>26</v>
      </c>
      <c r="F352" s="6" t="s">
        <v>109</v>
      </c>
      <c r="G352" s="9" t="s">
        <v>102</v>
      </c>
      <c r="H352" s="9" t="s">
        <v>110</v>
      </c>
      <c r="I352" s="9" t="s">
        <v>111</v>
      </c>
      <c r="J352" s="9"/>
      <c r="K352" s="9" t="s">
        <v>31</v>
      </c>
      <c r="L352" s="9" t="s">
        <v>60</v>
      </c>
      <c r="M352" s="9" t="s">
        <v>118</v>
      </c>
      <c r="N352" s="13" t="s">
        <v>462</v>
      </c>
      <c r="O352" s="5">
        <v>47</v>
      </c>
      <c r="P352" s="5" t="s">
        <v>26</v>
      </c>
      <c r="Q352" s="5"/>
      <c r="R352" s="17"/>
      <c r="S352" s="17"/>
      <c r="T352" s="18">
        <v>67.3333333333333</v>
      </c>
      <c r="U352" s="18">
        <v>3164.66666666667</v>
      </c>
      <c r="V352" s="16"/>
      <c r="W352">
        <f t="shared" si="51"/>
        <v>84.1666666666666</v>
      </c>
      <c r="X352">
        <f t="shared" si="52"/>
        <v>3955.83333333333</v>
      </c>
      <c r="Y352">
        <f t="shared" si="53"/>
        <v>11.9385342789598</v>
      </c>
      <c r="Z352">
        <f t="shared" si="54"/>
        <v>561.111111111111</v>
      </c>
      <c r="AA352">
        <f t="shared" si="55"/>
        <v>0.126586666666667</v>
      </c>
    </row>
    <row r="353" ht="88.8" spans="1:27">
      <c r="A353" s="10">
        <v>2</v>
      </c>
      <c r="B353" s="5" t="s">
        <v>25</v>
      </c>
      <c r="C353" s="5"/>
      <c r="D353" s="5">
        <f t="shared" si="58"/>
        <v>2</v>
      </c>
      <c r="E353" s="5" t="s">
        <v>26</v>
      </c>
      <c r="F353" s="6" t="s">
        <v>125</v>
      </c>
      <c r="G353" s="9" t="s">
        <v>122</v>
      </c>
      <c r="H353" s="9" t="s">
        <v>126</v>
      </c>
      <c r="I353" s="9" t="s">
        <v>114</v>
      </c>
      <c r="J353" s="9"/>
      <c r="K353" s="9" t="s">
        <v>31</v>
      </c>
      <c r="L353" s="9" t="s">
        <v>60</v>
      </c>
      <c r="M353" s="9" t="s">
        <v>435</v>
      </c>
      <c r="N353" s="13" t="s">
        <v>462</v>
      </c>
      <c r="O353" s="5">
        <v>2</v>
      </c>
      <c r="P353" s="5" t="s">
        <v>26</v>
      </c>
      <c r="Q353" s="5"/>
      <c r="R353" s="17"/>
      <c r="S353" s="17"/>
      <c r="T353" s="18">
        <v>17.9555555555556</v>
      </c>
      <c r="U353" s="18">
        <v>35.9111111111112</v>
      </c>
      <c r="V353" s="16"/>
      <c r="W353">
        <f t="shared" si="51"/>
        <v>22.4444444444445</v>
      </c>
      <c r="X353">
        <f t="shared" si="52"/>
        <v>44.888888888889</v>
      </c>
      <c r="Y353">
        <f t="shared" si="53"/>
        <v>3.18360914105596</v>
      </c>
      <c r="Z353">
        <f t="shared" si="54"/>
        <v>6.36721828211191</v>
      </c>
      <c r="AA353">
        <f t="shared" si="55"/>
        <v>0.00143644444444445</v>
      </c>
    </row>
    <row r="354" ht="69.6" spans="1:27">
      <c r="A354" s="10">
        <v>1</v>
      </c>
      <c r="B354" s="5" t="s">
        <v>25</v>
      </c>
      <c r="C354" s="5"/>
      <c r="D354" s="5">
        <f t="shared" si="58"/>
        <v>1</v>
      </c>
      <c r="E354" s="5" t="s">
        <v>26</v>
      </c>
      <c r="F354" s="6" t="s">
        <v>127</v>
      </c>
      <c r="G354" s="9" t="s">
        <v>122</v>
      </c>
      <c r="H354" s="9" t="s">
        <v>103</v>
      </c>
      <c r="I354" s="9" t="s">
        <v>104</v>
      </c>
      <c r="J354" s="9"/>
      <c r="K354" s="9" t="s">
        <v>31</v>
      </c>
      <c r="L354" s="9" t="s">
        <v>60</v>
      </c>
      <c r="M354" s="9" t="s">
        <v>442</v>
      </c>
      <c r="N354" s="13" t="s">
        <v>462</v>
      </c>
      <c r="O354" s="5">
        <v>1</v>
      </c>
      <c r="P354" s="5" t="s">
        <v>26</v>
      </c>
      <c r="Q354" s="5"/>
      <c r="R354" s="17"/>
      <c r="S354" s="17"/>
      <c r="T354" s="18">
        <v>25.8111111111111</v>
      </c>
      <c r="U354" s="18">
        <v>25.8111111111111</v>
      </c>
      <c r="V354" s="16"/>
      <c r="W354">
        <f t="shared" si="51"/>
        <v>32.2638888888889</v>
      </c>
      <c r="X354">
        <f t="shared" si="52"/>
        <v>32.2638888888889</v>
      </c>
      <c r="Y354">
        <f t="shared" si="53"/>
        <v>4.57643814026792</v>
      </c>
      <c r="Z354">
        <f t="shared" si="54"/>
        <v>4.57643814026792</v>
      </c>
      <c r="AA354">
        <f t="shared" si="55"/>
        <v>0.00103244444444444</v>
      </c>
    </row>
    <row r="355" ht="69.6" spans="1:27">
      <c r="A355" s="10">
        <v>2</v>
      </c>
      <c r="B355" s="5" t="s">
        <v>25</v>
      </c>
      <c r="C355" s="5"/>
      <c r="D355" s="5">
        <f t="shared" si="58"/>
        <v>2</v>
      </c>
      <c r="E355" s="5" t="s">
        <v>26</v>
      </c>
      <c r="F355" s="6" t="s">
        <v>128</v>
      </c>
      <c r="G355" s="9" t="s">
        <v>122</v>
      </c>
      <c r="H355" s="9" t="s">
        <v>107</v>
      </c>
      <c r="I355" s="9" t="s">
        <v>108</v>
      </c>
      <c r="J355" s="9"/>
      <c r="K355" s="9" t="s">
        <v>31</v>
      </c>
      <c r="L355" s="9" t="s">
        <v>60</v>
      </c>
      <c r="M355" s="9" t="s">
        <v>442</v>
      </c>
      <c r="N355" s="13" t="s">
        <v>462</v>
      </c>
      <c r="O355" s="5">
        <v>2</v>
      </c>
      <c r="P355" s="5" t="s">
        <v>26</v>
      </c>
      <c r="Q355" s="5"/>
      <c r="R355" s="17"/>
      <c r="S355" s="17"/>
      <c r="T355" s="18">
        <v>25.8111111111111</v>
      </c>
      <c r="U355" s="18">
        <v>51.6222222222222</v>
      </c>
      <c r="V355" s="16"/>
      <c r="W355">
        <f t="shared" si="51"/>
        <v>32.2638888888889</v>
      </c>
      <c r="X355">
        <f t="shared" si="52"/>
        <v>64.5277777777777</v>
      </c>
      <c r="Y355">
        <f t="shared" si="53"/>
        <v>4.57643814026792</v>
      </c>
      <c r="Z355">
        <f t="shared" si="54"/>
        <v>9.15287628053585</v>
      </c>
      <c r="AA355">
        <f t="shared" si="55"/>
        <v>0.00206488888888889</v>
      </c>
    </row>
    <row r="356" ht="88.8" spans="1:27">
      <c r="A356" s="10">
        <v>14</v>
      </c>
      <c r="B356" s="5" t="s">
        <v>25</v>
      </c>
      <c r="C356" s="5"/>
      <c r="D356" s="5">
        <f t="shared" si="58"/>
        <v>14</v>
      </c>
      <c r="E356" s="5" t="s">
        <v>26</v>
      </c>
      <c r="F356" s="6" t="s">
        <v>165</v>
      </c>
      <c r="G356" s="9" t="s">
        <v>166</v>
      </c>
      <c r="H356" s="9" t="s">
        <v>77</v>
      </c>
      <c r="I356" s="9"/>
      <c r="J356" s="9"/>
      <c r="K356" s="9" t="s">
        <v>167</v>
      </c>
      <c r="L356" s="9" t="s">
        <v>95</v>
      </c>
      <c r="M356" s="9" t="s">
        <v>438</v>
      </c>
      <c r="N356" s="13">
        <v>3.1</v>
      </c>
      <c r="O356" s="5">
        <v>14</v>
      </c>
      <c r="P356" s="5" t="s">
        <v>26</v>
      </c>
      <c r="Q356" s="5"/>
      <c r="R356" s="17"/>
      <c r="S356" s="17"/>
      <c r="T356" s="18">
        <v>51.5</v>
      </c>
      <c r="U356" s="18">
        <v>721</v>
      </c>
      <c r="V356" s="16"/>
      <c r="W356">
        <f t="shared" si="51"/>
        <v>64.375</v>
      </c>
      <c r="X356">
        <f t="shared" si="52"/>
        <v>901.25</v>
      </c>
      <c r="Y356">
        <f t="shared" si="53"/>
        <v>9.13120567375887</v>
      </c>
      <c r="Z356">
        <f t="shared" si="54"/>
        <v>127.836879432624</v>
      </c>
      <c r="AA356">
        <f t="shared" ref="AA356:AA389" si="59">U356/25000</f>
        <v>0.02884</v>
      </c>
    </row>
    <row r="357" ht="66" spans="1:27">
      <c r="A357" s="10">
        <v>5</v>
      </c>
      <c r="B357" s="5" t="s">
        <v>25</v>
      </c>
      <c r="C357" s="5"/>
      <c r="D357" s="5">
        <f t="shared" si="58"/>
        <v>5</v>
      </c>
      <c r="E357" s="5" t="s">
        <v>26</v>
      </c>
      <c r="F357" s="6" t="s">
        <v>179</v>
      </c>
      <c r="G357" s="9" t="s">
        <v>42</v>
      </c>
      <c r="H357" s="9" t="s">
        <v>77</v>
      </c>
      <c r="I357" s="9" t="s">
        <v>64</v>
      </c>
      <c r="J357" s="9" t="s">
        <v>94</v>
      </c>
      <c r="K357" s="9" t="s">
        <v>44</v>
      </c>
      <c r="L357" s="9" t="s">
        <v>95</v>
      </c>
      <c r="M357" s="9" t="s">
        <v>242</v>
      </c>
      <c r="N357" s="13" t="s">
        <v>462</v>
      </c>
      <c r="O357" s="5">
        <v>5</v>
      </c>
      <c r="P357" s="5" t="s">
        <v>26</v>
      </c>
      <c r="Q357" s="5"/>
      <c r="R357" s="17"/>
      <c r="S357" s="17"/>
      <c r="T357" s="18">
        <v>50.5</v>
      </c>
      <c r="U357" s="18">
        <v>252.5</v>
      </c>
      <c r="V357" s="16"/>
      <c r="W357">
        <f t="shared" si="51"/>
        <v>63.125</v>
      </c>
      <c r="X357">
        <f t="shared" si="52"/>
        <v>315.625</v>
      </c>
      <c r="Y357">
        <f t="shared" si="53"/>
        <v>8.95390070921986</v>
      </c>
      <c r="Z357">
        <f t="shared" si="54"/>
        <v>44.7695035460993</v>
      </c>
      <c r="AA357">
        <f t="shared" si="59"/>
        <v>0.0101</v>
      </c>
    </row>
    <row r="358" ht="54" spans="1:27">
      <c r="A358" s="10">
        <v>1</v>
      </c>
      <c r="B358" s="5" t="s">
        <v>25</v>
      </c>
      <c r="C358" s="5"/>
      <c r="D358" s="5">
        <f t="shared" si="58"/>
        <v>1</v>
      </c>
      <c r="E358" s="5" t="s">
        <v>26</v>
      </c>
      <c r="F358" s="6" t="s">
        <v>181</v>
      </c>
      <c r="G358" s="9" t="s">
        <v>28</v>
      </c>
      <c r="H358" s="9" t="s">
        <v>72</v>
      </c>
      <c r="I358" s="9" t="s">
        <v>64</v>
      </c>
      <c r="J358" s="9"/>
      <c r="K358" s="9" t="s">
        <v>31</v>
      </c>
      <c r="L358" s="9" t="s">
        <v>60</v>
      </c>
      <c r="M358" s="9" t="s">
        <v>61</v>
      </c>
      <c r="N358" s="13" t="s">
        <v>462</v>
      </c>
      <c r="O358" s="5">
        <v>1</v>
      </c>
      <c r="P358" s="5" t="s">
        <v>26</v>
      </c>
      <c r="Q358" s="5"/>
      <c r="R358" s="17"/>
      <c r="S358" s="17"/>
      <c r="T358" s="18">
        <v>14.5888888888889</v>
      </c>
      <c r="U358" s="18">
        <v>14.5888888888889</v>
      </c>
      <c r="V358" s="16"/>
      <c r="W358">
        <f t="shared" si="51"/>
        <v>18.2361111111111</v>
      </c>
      <c r="X358">
        <f t="shared" si="52"/>
        <v>18.2361111111111</v>
      </c>
      <c r="Y358">
        <f t="shared" si="53"/>
        <v>2.58668242710796</v>
      </c>
      <c r="Z358">
        <f t="shared" si="54"/>
        <v>2.58668242710796</v>
      </c>
      <c r="AA358">
        <f t="shared" si="59"/>
        <v>0.000583555555555556</v>
      </c>
    </row>
    <row r="359" ht="69.6" spans="1:27">
      <c r="A359" s="10">
        <v>4</v>
      </c>
      <c r="B359" s="5" t="s">
        <v>25</v>
      </c>
      <c r="C359" s="5"/>
      <c r="D359" s="5">
        <f t="shared" si="58"/>
        <v>4</v>
      </c>
      <c r="E359" s="5" t="s">
        <v>26</v>
      </c>
      <c r="F359" s="6" t="s">
        <v>183</v>
      </c>
      <c r="G359" s="9" t="s">
        <v>28</v>
      </c>
      <c r="H359" s="9" t="s">
        <v>79</v>
      </c>
      <c r="I359" s="9" t="s">
        <v>80</v>
      </c>
      <c r="J359" s="9"/>
      <c r="K359" s="9" t="s">
        <v>31</v>
      </c>
      <c r="L359" s="9" t="s">
        <v>60</v>
      </c>
      <c r="M359" s="9" t="s">
        <v>433</v>
      </c>
      <c r="N359" s="13" t="s">
        <v>462</v>
      </c>
      <c r="O359" s="5">
        <v>4</v>
      </c>
      <c r="P359" s="5" t="s">
        <v>26</v>
      </c>
      <c r="Q359" s="5"/>
      <c r="R359" s="17"/>
      <c r="S359" s="17"/>
      <c r="T359" s="18">
        <v>634.055555555556</v>
      </c>
      <c r="U359" s="18">
        <v>2536.22222222222</v>
      </c>
      <c r="V359" s="16" t="s">
        <v>81</v>
      </c>
      <c r="W359">
        <f t="shared" si="51"/>
        <v>792.569444444445</v>
      </c>
      <c r="X359">
        <f t="shared" si="52"/>
        <v>3170.27777777778</v>
      </c>
      <c r="Y359">
        <f t="shared" si="53"/>
        <v>112.421197793538</v>
      </c>
      <c r="Z359">
        <f t="shared" si="54"/>
        <v>449.684791174153</v>
      </c>
      <c r="AA359">
        <f t="shared" si="59"/>
        <v>0.101448888888889</v>
      </c>
    </row>
    <row r="360" ht="69.6" spans="1:27">
      <c r="A360" s="10">
        <v>3</v>
      </c>
      <c r="B360" s="5" t="s">
        <v>25</v>
      </c>
      <c r="C360" s="5"/>
      <c r="D360" s="5">
        <f t="shared" si="58"/>
        <v>3</v>
      </c>
      <c r="E360" s="5" t="s">
        <v>26</v>
      </c>
      <c r="F360" s="6" t="s">
        <v>184</v>
      </c>
      <c r="G360" s="9" t="s">
        <v>28</v>
      </c>
      <c r="H360" s="9" t="s">
        <v>74</v>
      </c>
      <c r="I360" s="9" t="s">
        <v>75</v>
      </c>
      <c r="J360" s="9"/>
      <c r="K360" s="9" t="s">
        <v>31</v>
      </c>
      <c r="L360" s="9" t="s">
        <v>60</v>
      </c>
      <c r="M360" s="9" t="s">
        <v>441</v>
      </c>
      <c r="N360" s="13" t="s">
        <v>462</v>
      </c>
      <c r="O360" s="5">
        <v>3</v>
      </c>
      <c r="P360" s="5" t="s">
        <v>26</v>
      </c>
      <c r="Q360" s="5"/>
      <c r="R360" s="17"/>
      <c r="S360" s="17"/>
      <c r="T360" s="18">
        <v>39.2777777777778</v>
      </c>
      <c r="U360" s="18">
        <v>117.833333333333</v>
      </c>
      <c r="V360" s="16"/>
      <c r="W360">
        <f t="shared" si="51"/>
        <v>49.0972222222222</v>
      </c>
      <c r="X360">
        <f t="shared" si="52"/>
        <v>147.291666666667</v>
      </c>
      <c r="Y360">
        <f t="shared" si="53"/>
        <v>6.96414499605989</v>
      </c>
      <c r="Z360">
        <f t="shared" si="54"/>
        <v>20.8924349881797</v>
      </c>
      <c r="AA360">
        <f t="shared" si="59"/>
        <v>0.00471333333333332</v>
      </c>
    </row>
    <row r="361" ht="69.6" spans="1:27">
      <c r="A361" s="10">
        <v>16</v>
      </c>
      <c r="B361" s="5" t="s">
        <v>25</v>
      </c>
      <c r="C361" s="5"/>
      <c r="D361" s="5">
        <f t="shared" si="58"/>
        <v>16</v>
      </c>
      <c r="E361" s="5" t="s">
        <v>26</v>
      </c>
      <c r="F361" s="6" t="s">
        <v>194</v>
      </c>
      <c r="G361" s="9" t="s">
        <v>102</v>
      </c>
      <c r="H361" s="9" t="s">
        <v>136</v>
      </c>
      <c r="I361" s="9" t="s">
        <v>137</v>
      </c>
      <c r="J361" s="9"/>
      <c r="K361" s="9" t="s">
        <v>31</v>
      </c>
      <c r="L361" s="9" t="s">
        <v>60</v>
      </c>
      <c r="M361" s="9" t="s">
        <v>442</v>
      </c>
      <c r="N361" s="13" t="s">
        <v>462</v>
      </c>
      <c r="O361" s="5">
        <v>16</v>
      </c>
      <c r="P361" s="5" t="s">
        <v>26</v>
      </c>
      <c r="Q361" s="5"/>
      <c r="R361" s="17"/>
      <c r="S361" s="17"/>
      <c r="T361" s="18">
        <v>28.0555555555556</v>
      </c>
      <c r="U361" s="18">
        <v>448.88888888889</v>
      </c>
      <c r="V361" s="16"/>
      <c r="W361">
        <f t="shared" si="51"/>
        <v>35.0694444444445</v>
      </c>
      <c r="X361">
        <f t="shared" si="52"/>
        <v>561.111111111112</v>
      </c>
      <c r="Y361">
        <f t="shared" si="53"/>
        <v>4.97438928289993</v>
      </c>
      <c r="Z361">
        <f t="shared" si="54"/>
        <v>79.5902285263989</v>
      </c>
      <c r="AA361">
        <f t="shared" si="59"/>
        <v>0.0179555555555556</v>
      </c>
    </row>
    <row r="362" ht="69.6" spans="1:27">
      <c r="A362" s="10">
        <v>5</v>
      </c>
      <c r="B362" s="5" t="s">
        <v>25</v>
      </c>
      <c r="C362" s="5"/>
      <c r="D362" s="5">
        <f t="shared" si="58"/>
        <v>5</v>
      </c>
      <c r="E362" s="5" t="s">
        <v>26</v>
      </c>
      <c r="F362" s="6" t="s">
        <v>195</v>
      </c>
      <c r="G362" s="9" t="s">
        <v>102</v>
      </c>
      <c r="H362" s="9" t="s">
        <v>196</v>
      </c>
      <c r="I362" s="9" t="s">
        <v>108</v>
      </c>
      <c r="J362" s="9"/>
      <c r="K362" s="9" t="s">
        <v>31</v>
      </c>
      <c r="L362" s="9" t="s">
        <v>60</v>
      </c>
      <c r="M362" s="9" t="s">
        <v>442</v>
      </c>
      <c r="N362" s="13" t="s">
        <v>462</v>
      </c>
      <c r="O362" s="5">
        <v>5</v>
      </c>
      <c r="P362" s="5" t="s">
        <v>26</v>
      </c>
      <c r="Q362" s="5"/>
      <c r="R362" s="17"/>
      <c r="S362" s="17"/>
      <c r="T362" s="18">
        <v>44.8888888888889</v>
      </c>
      <c r="U362" s="18">
        <v>224.444444444445</v>
      </c>
      <c r="V362" s="16"/>
      <c r="W362">
        <f t="shared" si="51"/>
        <v>56.1111111111111</v>
      </c>
      <c r="X362">
        <f t="shared" si="52"/>
        <v>280.555555555556</v>
      </c>
      <c r="Y362">
        <f t="shared" si="53"/>
        <v>7.95902285263988</v>
      </c>
      <c r="Z362">
        <f t="shared" si="54"/>
        <v>39.7951142631994</v>
      </c>
      <c r="AA362">
        <f t="shared" si="59"/>
        <v>0.0089777777777778</v>
      </c>
    </row>
    <row r="363" ht="54" spans="1:27">
      <c r="A363" s="10">
        <v>6</v>
      </c>
      <c r="B363" s="5" t="s">
        <v>25</v>
      </c>
      <c r="C363" s="5"/>
      <c r="D363" s="5">
        <f t="shared" si="58"/>
        <v>6</v>
      </c>
      <c r="E363" s="5" t="s">
        <v>26</v>
      </c>
      <c r="F363" s="6" t="s">
        <v>197</v>
      </c>
      <c r="G363" s="9" t="s">
        <v>102</v>
      </c>
      <c r="H363" s="9" t="s">
        <v>155</v>
      </c>
      <c r="I363" s="9" t="s">
        <v>111</v>
      </c>
      <c r="J363" s="9"/>
      <c r="K363" s="9" t="s">
        <v>31</v>
      </c>
      <c r="L363" s="9" t="s">
        <v>60</v>
      </c>
      <c r="M363" s="9" t="s">
        <v>118</v>
      </c>
      <c r="N363" s="13" t="s">
        <v>462</v>
      </c>
      <c r="O363" s="5">
        <v>6</v>
      </c>
      <c r="P363" s="5" t="s">
        <v>26</v>
      </c>
      <c r="Q363" s="5"/>
      <c r="R363" s="17"/>
      <c r="S363" s="17"/>
      <c r="T363" s="18">
        <v>43.7666666666667</v>
      </c>
      <c r="U363" s="18">
        <v>262.6</v>
      </c>
      <c r="V363" s="16"/>
      <c r="W363">
        <f t="shared" si="51"/>
        <v>54.7083333333334</v>
      </c>
      <c r="X363">
        <f t="shared" si="52"/>
        <v>328.25</v>
      </c>
      <c r="Y363">
        <f t="shared" si="53"/>
        <v>7.76004728132388</v>
      </c>
      <c r="Z363">
        <f t="shared" si="54"/>
        <v>46.5602836879433</v>
      </c>
      <c r="AA363">
        <f t="shared" si="59"/>
        <v>0.010504</v>
      </c>
    </row>
    <row r="364" ht="69.6" spans="1:27">
      <c r="A364" s="10">
        <v>3</v>
      </c>
      <c r="B364" s="5" t="s">
        <v>25</v>
      </c>
      <c r="C364" s="5"/>
      <c r="D364" s="5">
        <f t="shared" si="58"/>
        <v>3</v>
      </c>
      <c r="E364" s="5" t="s">
        <v>26</v>
      </c>
      <c r="F364" s="6" t="s">
        <v>199</v>
      </c>
      <c r="G364" s="9" t="s">
        <v>102</v>
      </c>
      <c r="H364" s="9" t="s">
        <v>200</v>
      </c>
      <c r="I364" s="9" t="s">
        <v>201</v>
      </c>
      <c r="J364" s="9"/>
      <c r="K364" s="9" t="s">
        <v>31</v>
      </c>
      <c r="L364" s="9" t="s">
        <v>60</v>
      </c>
      <c r="M364" s="9" t="s">
        <v>442</v>
      </c>
      <c r="N364" s="13" t="s">
        <v>462</v>
      </c>
      <c r="O364" s="5">
        <v>3</v>
      </c>
      <c r="P364" s="5" t="s">
        <v>26</v>
      </c>
      <c r="Q364" s="5"/>
      <c r="R364" s="17"/>
      <c r="S364" s="17"/>
      <c r="T364" s="18">
        <v>132.422222222222</v>
      </c>
      <c r="U364" s="18">
        <v>397.266666666666</v>
      </c>
      <c r="V364" s="16"/>
      <c r="W364">
        <f t="shared" si="51"/>
        <v>165.527777777777</v>
      </c>
      <c r="X364">
        <f t="shared" si="52"/>
        <v>496.583333333332</v>
      </c>
      <c r="Y364">
        <f t="shared" si="53"/>
        <v>23.4791174152876</v>
      </c>
      <c r="Z364">
        <f t="shared" si="54"/>
        <v>70.4373522458628</v>
      </c>
      <c r="AA364">
        <f t="shared" si="59"/>
        <v>0.0158906666666666</v>
      </c>
    </row>
    <row r="365" ht="54" spans="1:27">
      <c r="A365" s="10">
        <v>12</v>
      </c>
      <c r="B365" s="10" t="s">
        <v>25</v>
      </c>
      <c r="C365" s="10"/>
      <c r="D365" s="5">
        <f t="shared" si="58"/>
        <v>12</v>
      </c>
      <c r="E365" s="5" t="s">
        <v>26</v>
      </c>
      <c r="F365" s="20" t="s">
        <v>243</v>
      </c>
      <c r="G365" s="9" t="s">
        <v>37</v>
      </c>
      <c r="H365" s="9" t="s">
        <v>69</v>
      </c>
      <c r="I365" s="9" t="s">
        <v>64</v>
      </c>
      <c r="J365" s="9"/>
      <c r="K365" s="9" t="s">
        <v>31</v>
      </c>
      <c r="L365" s="9" t="s">
        <v>60</v>
      </c>
      <c r="M365" s="9" t="s">
        <v>61</v>
      </c>
      <c r="N365" s="22" t="s">
        <v>462</v>
      </c>
      <c r="O365" s="5">
        <v>12</v>
      </c>
      <c r="P365" s="5" t="s">
        <v>26</v>
      </c>
      <c r="Q365" s="10"/>
      <c r="R365" s="17"/>
      <c r="S365" s="17"/>
      <c r="T365" s="18">
        <v>11.2222222222222</v>
      </c>
      <c r="U365" s="18">
        <v>134.666666666666</v>
      </c>
      <c r="V365" s="16"/>
      <c r="W365">
        <f t="shared" si="51"/>
        <v>14.0277777777778</v>
      </c>
      <c r="X365">
        <f t="shared" si="52"/>
        <v>168.333333333333</v>
      </c>
      <c r="Y365">
        <f t="shared" si="53"/>
        <v>1.98975571315996</v>
      </c>
      <c r="Z365">
        <f t="shared" si="54"/>
        <v>23.8770685579196</v>
      </c>
      <c r="AA365">
        <f t="shared" si="59"/>
        <v>0.00538666666666664</v>
      </c>
    </row>
    <row r="366" ht="54" spans="1:27">
      <c r="A366" s="10">
        <v>11</v>
      </c>
      <c r="B366" s="10" t="s">
        <v>25</v>
      </c>
      <c r="C366" s="10"/>
      <c r="D366" s="5">
        <f t="shared" si="58"/>
        <v>11</v>
      </c>
      <c r="E366" s="5" t="s">
        <v>26</v>
      </c>
      <c r="F366" s="20" t="s">
        <v>245</v>
      </c>
      <c r="G366" s="9" t="s">
        <v>150</v>
      </c>
      <c r="H366" s="9" t="s">
        <v>126</v>
      </c>
      <c r="I366" s="9" t="s">
        <v>114</v>
      </c>
      <c r="J366" s="9"/>
      <c r="K366" s="9" t="s">
        <v>31</v>
      </c>
      <c r="L366" s="9" t="s">
        <v>60</v>
      </c>
      <c r="M366" s="9" t="s">
        <v>342</v>
      </c>
      <c r="N366" s="22" t="s">
        <v>462</v>
      </c>
      <c r="O366" s="5">
        <v>11</v>
      </c>
      <c r="P366" s="5" t="s">
        <v>26</v>
      </c>
      <c r="Q366" s="10"/>
      <c r="R366" s="17"/>
      <c r="S366" s="17"/>
      <c r="T366" s="18">
        <v>35.9111111111111</v>
      </c>
      <c r="U366" s="18">
        <v>395.022222222222</v>
      </c>
      <c r="V366" s="16"/>
      <c r="W366">
        <f t="shared" si="51"/>
        <v>44.8888888888889</v>
      </c>
      <c r="X366">
        <f t="shared" si="52"/>
        <v>493.777777777778</v>
      </c>
      <c r="Y366">
        <f t="shared" si="53"/>
        <v>6.3672182821119</v>
      </c>
      <c r="Z366">
        <f t="shared" si="54"/>
        <v>70.0394011032309</v>
      </c>
      <c r="AA366">
        <f t="shared" si="59"/>
        <v>0.0158008888888889</v>
      </c>
    </row>
    <row r="367" ht="54" spans="1:27">
      <c r="A367" s="10">
        <v>5</v>
      </c>
      <c r="B367" s="10" t="s">
        <v>25</v>
      </c>
      <c r="C367" s="10"/>
      <c r="D367" s="5">
        <f t="shared" si="58"/>
        <v>5</v>
      </c>
      <c r="E367" s="5" t="s">
        <v>26</v>
      </c>
      <c r="F367" s="20" t="s">
        <v>248</v>
      </c>
      <c r="G367" s="9" t="s">
        <v>102</v>
      </c>
      <c r="H367" s="9" t="s">
        <v>126</v>
      </c>
      <c r="I367" s="9" t="s">
        <v>114</v>
      </c>
      <c r="J367" s="9"/>
      <c r="K367" s="9" t="s">
        <v>31</v>
      </c>
      <c r="L367" s="9" t="s">
        <v>60</v>
      </c>
      <c r="M367" s="9" t="s">
        <v>118</v>
      </c>
      <c r="N367" s="22" t="s">
        <v>462</v>
      </c>
      <c r="O367" s="5">
        <v>5</v>
      </c>
      <c r="P367" s="5" t="s">
        <v>26</v>
      </c>
      <c r="Q367" s="10"/>
      <c r="R367" s="17"/>
      <c r="S367" s="17"/>
      <c r="T367" s="18">
        <v>15.7111111111111</v>
      </c>
      <c r="U367" s="18">
        <v>78.5555555555555</v>
      </c>
      <c r="V367" s="16"/>
      <c r="W367">
        <f t="shared" si="51"/>
        <v>19.6388888888889</v>
      </c>
      <c r="X367">
        <f t="shared" si="52"/>
        <v>98.1944444444444</v>
      </c>
      <c r="Y367">
        <f t="shared" si="53"/>
        <v>2.78565799842395</v>
      </c>
      <c r="Z367">
        <f t="shared" si="54"/>
        <v>13.9282899921198</v>
      </c>
      <c r="AA367">
        <f t="shared" si="59"/>
        <v>0.00314222222222222</v>
      </c>
    </row>
    <row r="368" ht="69.6" spans="1:27">
      <c r="A368" s="10">
        <v>2</v>
      </c>
      <c r="B368" s="10" t="s">
        <v>25</v>
      </c>
      <c r="C368" s="10"/>
      <c r="D368" s="5">
        <f t="shared" si="58"/>
        <v>2</v>
      </c>
      <c r="E368" s="5" t="s">
        <v>26</v>
      </c>
      <c r="F368" s="20" t="s">
        <v>249</v>
      </c>
      <c r="G368" s="9" t="s">
        <v>102</v>
      </c>
      <c r="H368" s="9" t="s">
        <v>204</v>
      </c>
      <c r="I368" s="9" t="s">
        <v>104</v>
      </c>
      <c r="J368" s="9"/>
      <c r="K368" s="9" t="s">
        <v>31</v>
      </c>
      <c r="L368" s="9" t="s">
        <v>60</v>
      </c>
      <c r="M368" s="9" t="s">
        <v>442</v>
      </c>
      <c r="N368" s="22" t="s">
        <v>462</v>
      </c>
      <c r="O368" s="5">
        <v>2</v>
      </c>
      <c r="P368" s="5" t="s">
        <v>26</v>
      </c>
      <c r="Q368" s="10"/>
      <c r="R368" s="17"/>
      <c r="S368" s="17"/>
      <c r="T368" s="18">
        <v>19.0777777777778</v>
      </c>
      <c r="U368" s="18">
        <v>38.1555555555556</v>
      </c>
      <c r="V368" s="16"/>
      <c r="W368">
        <f t="shared" si="51"/>
        <v>23.8472222222222</v>
      </c>
      <c r="X368">
        <f t="shared" si="52"/>
        <v>47.6944444444445</v>
      </c>
      <c r="Y368">
        <f t="shared" si="53"/>
        <v>3.38258471237195</v>
      </c>
      <c r="Z368">
        <f t="shared" si="54"/>
        <v>6.7651694247439</v>
      </c>
      <c r="AA368">
        <f t="shared" si="59"/>
        <v>0.00152622222222222</v>
      </c>
    </row>
    <row r="369" ht="54" spans="1:27">
      <c r="A369" s="10">
        <v>2</v>
      </c>
      <c r="B369" s="10" t="s">
        <v>25</v>
      </c>
      <c r="C369" s="10"/>
      <c r="D369" s="5">
        <f t="shared" si="58"/>
        <v>2</v>
      </c>
      <c r="E369" s="5" t="s">
        <v>26</v>
      </c>
      <c r="F369" s="20" t="s">
        <v>256</v>
      </c>
      <c r="G369" s="9" t="s">
        <v>253</v>
      </c>
      <c r="H369" s="9" t="s">
        <v>59</v>
      </c>
      <c r="I369" s="9" t="s">
        <v>55</v>
      </c>
      <c r="J369" s="9"/>
      <c r="K369" s="9" t="s">
        <v>254</v>
      </c>
      <c r="L369" s="9" t="s">
        <v>95</v>
      </c>
      <c r="M369" s="9" t="s">
        <v>255</v>
      </c>
      <c r="N369" s="22" t="s">
        <v>462</v>
      </c>
      <c r="O369" s="5">
        <v>2</v>
      </c>
      <c r="P369" s="5" t="s">
        <v>26</v>
      </c>
      <c r="Q369" s="10"/>
      <c r="R369" s="17"/>
      <c r="S369" s="17"/>
      <c r="T369" s="18">
        <v>68.4555555555555</v>
      </c>
      <c r="U369" s="18">
        <v>136.911111111111</v>
      </c>
      <c r="V369" s="16"/>
      <c r="W369">
        <f t="shared" si="51"/>
        <v>85.5694444444444</v>
      </c>
      <c r="X369">
        <f t="shared" si="52"/>
        <v>171.138888888889</v>
      </c>
      <c r="Y369">
        <f t="shared" si="53"/>
        <v>12.1375098502758</v>
      </c>
      <c r="Z369">
        <f t="shared" si="54"/>
        <v>24.2750197005516</v>
      </c>
      <c r="AA369">
        <f t="shared" si="59"/>
        <v>0.00547644444444444</v>
      </c>
    </row>
    <row r="370" ht="54" spans="1:27">
      <c r="A370" s="5">
        <v>5</v>
      </c>
      <c r="B370" s="10" t="s">
        <v>25</v>
      </c>
      <c r="C370" s="10"/>
      <c r="D370" s="5">
        <f t="shared" si="58"/>
        <v>5</v>
      </c>
      <c r="E370" s="5" t="s">
        <v>26</v>
      </c>
      <c r="F370" s="6" t="s">
        <v>270</v>
      </c>
      <c r="G370" s="9" t="s">
        <v>93</v>
      </c>
      <c r="H370" s="9" t="s">
        <v>72</v>
      </c>
      <c r="I370" s="9"/>
      <c r="J370" s="9" t="s">
        <v>94</v>
      </c>
      <c r="K370" s="9" t="s">
        <v>44</v>
      </c>
      <c r="L370" s="9" t="s">
        <v>95</v>
      </c>
      <c r="M370" s="9" t="s">
        <v>271</v>
      </c>
      <c r="N370" s="22" t="s">
        <v>462</v>
      </c>
      <c r="O370" s="5">
        <v>5</v>
      </c>
      <c r="P370" s="5" t="s">
        <v>26</v>
      </c>
      <c r="Q370" s="5"/>
      <c r="R370" s="17"/>
      <c r="S370" s="17"/>
      <c r="T370" s="18">
        <v>60.6</v>
      </c>
      <c r="U370" s="18">
        <v>303</v>
      </c>
      <c r="V370" s="16"/>
      <c r="W370">
        <f t="shared" si="51"/>
        <v>75.75</v>
      </c>
      <c r="X370">
        <f t="shared" si="52"/>
        <v>378.75</v>
      </c>
      <c r="Y370">
        <f t="shared" si="53"/>
        <v>10.7446808510638</v>
      </c>
      <c r="Z370">
        <f t="shared" si="54"/>
        <v>53.7234042553192</v>
      </c>
      <c r="AA370">
        <f t="shared" si="59"/>
        <v>0.01212</v>
      </c>
    </row>
    <row r="371" ht="108" spans="1:27">
      <c r="A371" s="5">
        <v>1</v>
      </c>
      <c r="B371" s="10" t="s">
        <v>25</v>
      </c>
      <c r="C371" s="10"/>
      <c r="D371" s="5">
        <f t="shared" si="58"/>
        <v>1</v>
      </c>
      <c r="E371" s="5" t="s">
        <v>26</v>
      </c>
      <c r="F371" s="6" t="s">
        <v>272</v>
      </c>
      <c r="G371" s="9" t="s">
        <v>273</v>
      </c>
      <c r="H371" s="9" t="s">
        <v>77</v>
      </c>
      <c r="I371" s="9"/>
      <c r="J371" s="9" t="s">
        <v>274</v>
      </c>
      <c r="K371" s="9" t="s">
        <v>167</v>
      </c>
      <c r="L371" s="9" t="s">
        <v>95</v>
      </c>
      <c r="M371" s="9" t="s">
        <v>463</v>
      </c>
      <c r="N371" s="22" t="s">
        <v>462</v>
      </c>
      <c r="O371" s="5">
        <v>1</v>
      </c>
      <c r="P371" s="5" t="s">
        <v>26</v>
      </c>
      <c r="Q371" s="5"/>
      <c r="R371" s="17"/>
      <c r="S371" s="17"/>
      <c r="T371" s="18">
        <v>51.5</v>
      </c>
      <c r="U371" s="18">
        <v>51.5</v>
      </c>
      <c r="V371" s="16"/>
      <c r="W371">
        <f t="shared" si="51"/>
        <v>64.375</v>
      </c>
      <c r="X371">
        <f t="shared" si="52"/>
        <v>64.375</v>
      </c>
      <c r="Y371">
        <f t="shared" si="53"/>
        <v>9.13120567375887</v>
      </c>
      <c r="Z371">
        <f t="shared" si="54"/>
        <v>9.13120567375887</v>
      </c>
      <c r="AA371">
        <f t="shared" si="59"/>
        <v>0.00206</v>
      </c>
    </row>
    <row r="372" ht="92.4" spans="1:27">
      <c r="A372" s="5">
        <v>6</v>
      </c>
      <c r="B372" s="10" t="s">
        <v>25</v>
      </c>
      <c r="C372" s="10"/>
      <c r="D372" s="5">
        <f t="shared" si="58"/>
        <v>6</v>
      </c>
      <c r="E372" s="5" t="s">
        <v>26</v>
      </c>
      <c r="F372" s="6" t="s">
        <v>276</v>
      </c>
      <c r="G372" s="9" t="s">
        <v>277</v>
      </c>
      <c r="H372" s="9" t="s">
        <v>74</v>
      </c>
      <c r="I372" s="9"/>
      <c r="J372" s="9"/>
      <c r="K372" s="9" t="s">
        <v>261</v>
      </c>
      <c r="L372" s="9" t="s">
        <v>262</v>
      </c>
      <c r="M372" s="9" t="s">
        <v>464</v>
      </c>
      <c r="N372" s="22" t="s">
        <v>462</v>
      </c>
      <c r="O372" s="5">
        <v>6</v>
      </c>
      <c r="P372" s="5" t="s">
        <v>26</v>
      </c>
      <c r="Q372" s="5"/>
      <c r="R372" s="17"/>
      <c r="S372" s="17"/>
      <c r="T372" s="18"/>
      <c r="U372" s="18"/>
      <c r="V372" s="16" t="s">
        <v>279</v>
      </c>
      <c r="W372">
        <f t="shared" si="51"/>
        <v>0</v>
      </c>
      <c r="X372">
        <f t="shared" si="52"/>
        <v>0</v>
      </c>
      <c r="Y372">
        <f t="shared" si="53"/>
        <v>0</v>
      </c>
      <c r="Z372">
        <f t="shared" si="54"/>
        <v>0</v>
      </c>
      <c r="AA372">
        <f t="shared" si="59"/>
        <v>0</v>
      </c>
    </row>
    <row r="373" ht="76.8" spans="1:27">
      <c r="A373" s="5">
        <v>1</v>
      </c>
      <c r="B373" s="10" t="s">
        <v>25</v>
      </c>
      <c r="C373" s="10"/>
      <c r="D373" s="5">
        <f t="shared" si="58"/>
        <v>1</v>
      </c>
      <c r="E373" s="5" t="s">
        <v>26</v>
      </c>
      <c r="F373" s="6" t="s">
        <v>280</v>
      </c>
      <c r="G373" s="9" t="s">
        <v>277</v>
      </c>
      <c r="H373" s="9" t="s">
        <v>29</v>
      </c>
      <c r="I373" s="9"/>
      <c r="J373" s="9"/>
      <c r="K373" s="9" t="s">
        <v>261</v>
      </c>
      <c r="L373" s="9" t="s">
        <v>262</v>
      </c>
      <c r="M373" s="9" t="s">
        <v>447</v>
      </c>
      <c r="N373" s="22" t="s">
        <v>462</v>
      </c>
      <c r="O373" s="5">
        <v>1</v>
      </c>
      <c r="P373" s="5" t="s">
        <v>26</v>
      </c>
      <c r="Q373" s="5"/>
      <c r="R373" s="17"/>
      <c r="S373" s="17"/>
      <c r="T373" s="18"/>
      <c r="U373" s="18"/>
      <c r="V373" s="16" t="s">
        <v>279</v>
      </c>
      <c r="W373">
        <f t="shared" si="51"/>
        <v>0</v>
      </c>
      <c r="X373">
        <f t="shared" si="52"/>
        <v>0</v>
      </c>
      <c r="Y373">
        <f t="shared" si="53"/>
        <v>0</v>
      </c>
      <c r="Z373">
        <f t="shared" si="54"/>
        <v>0</v>
      </c>
      <c r="AA373">
        <f t="shared" si="59"/>
        <v>0</v>
      </c>
    </row>
    <row r="374" ht="76.8" spans="1:27">
      <c r="A374" s="5">
        <v>4</v>
      </c>
      <c r="B374" s="10" t="s">
        <v>25</v>
      </c>
      <c r="C374" s="10"/>
      <c r="D374" s="5">
        <f t="shared" ref="D374:D402" si="60">A374</f>
        <v>4</v>
      </c>
      <c r="E374" s="5" t="s">
        <v>26</v>
      </c>
      <c r="F374" s="6" t="s">
        <v>281</v>
      </c>
      <c r="G374" s="9" t="s">
        <v>277</v>
      </c>
      <c r="H374" s="9" t="s">
        <v>57</v>
      </c>
      <c r="I374" s="9"/>
      <c r="J374" s="9"/>
      <c r="K374" s="9" t="s">
        <v>261</v>
      </c>
      <c r="L374" s="9" t="s">
        <v>262</v>
      </c>
      <c r="M374" s="9" t="s">
        <v>447</v>
      </c>
      <c r="N374" s="22" t="s">
        <v>462</v>
      </c>
      <c r="O374" s="5">
        <v>4</v>
      </c>
      <c r="P374" s="5" t="s">
        <v>26</v>
      </c>
      <c r="Q374" s="5"/>
      <c r="R374" s="17"/>
      <c r="S374" s="17"/>
      <c r="T374" s="18"/>
      <c r="U374" s="18"/>
      <c r="V374" s="16" t="s">
        <v>279</v>
      </c>
      <c r="W374">
        <f t="shared" si="51"/>
        <v>0</v>
      </c>
      <c r="X374">
        <f t="shared" si="52"/>
        <v>0</v>
      </c>
      <c r="Y374">
        <f t="shared" si="53"/>
        <v>0</v>
      </c>
      <c r="Z374">
        <f t="shared" si="54"/>
        <v>0</v>
      </c>
      <c r="AA374">
        <f t="shared" si="59"/>
        <v>0</v>
      </c>
    </row>
    <row r="375" ht="88.8" spans="1:27">
      <c r="A375" s="5">
        <v>148</v>
      </c>
      <c r="B375" s="10" t="s">
        <v>25</v>
      </c>
      <c r="C375" s="10"/>
      <c r="D375" s="5">
        <f t="shared" si="60"/>
        <v>148</v>
      </c>
      <c r="E375" s="5" t="s">
        <v>26</v>
      </c>
      <c r="F375" s="6" t="s">
        <v>282</v>
      </c>
      <c r="G375" s="9" t="s">
        <v>283</v>
      </c>
      <c r="H375" s="9" t="s">
        <v>136</v>
      </c>
      <c r="I375" s="9"/>
      <c r="J375" s="9" t="s">
        <v>448</v>
      </c>
      <c r="K375" s="9" t="s">
        <v>285</v>
      </c>
      <c r="L375" s="9" t="s">
        <v>95</v>
      </c>
      <c r="M375" s="9" t="s">
        <v>465</v>
      </c>
      <c r="N375" s="22" t="s">
        <v>462</v>
      </c>
      <c r="O375" s="5">
        <v>148</v>
      </c>
      <c r="P375" s="5" t="s">
        <v>26</v>
      </c>
      <c r="Q375" s="5"/>
      <c r="R375" s="17"/>
      <c r="S375" s="17"/>
      <c r="T375" s="18">
        <v>80.1111111111111</v>
      </c>
      <c r="U375" s="18">
        <v>11856.4444444444</v>
      </c>
      <c r="V375" s="16"/>
      <c r="W375">
        <f t="shared" si="51"/>
        <v>100.138888888889</v>
      </c>
      <c r="X375">
        <f t="shared" si="52"/>
        <v>14820.5555555556</v>
      </c>
      <c r="Y375">
        <f t="shared" si="53"/>
        <v>14.204097714736</v>
      </c>
      <c r="Z375">
        <f t="shared" si="54"/>
        <v>2102.20646178093</v>
      </c>
      <c r="AA375">
        <f t="shared" si="59"/>
        <v>0.474257777777776</v>
      </c>
    </row>
    <row r="376" ht="69.6" spans="1:27">
      <c r="A376" s="21">
        <v>20</v>
      </c>
      <c r="B376" s="10" t="s">
        <v>26</v>
      </c>
      <c r="C376" s="10"/>
      <c r="D376" s="5">
        <f t="shared" si="60"/>
        <v>20</v>
      </c>
      <c r="E376" s="5" t="s">
        <v>26</v>
      </c>
      <c r="F376" s="20" t="s">
        <v>371</v>
      </c>
      <c r="G376" s="9" t="s">
        <v>42</v>
      </c>
      <c r="H376" s="9" t="s">
        <v>29</v>
      </c>
      <c r="I376" s="9" t="s">
        <v>55</v>
      </c>
      <c r="J376" s="9" t="s">
        <v>98</v>
      </c>
      <c r="K376" s="9" t="s">
        <v>44</v>
      </c>
      <c r="L376" s="9" t="s">
        <v>95</v>
      </c>
      <c r="M376" s="9" t="s">
        <v>466</v>
      </c>
      <c r="N376" s="22" t="s">
        <v>366</v>
      </c>
      <c r="O376" s="5">
        <v>20</v>
      </c>
      <c r="P376" s="5" t="s">
        <v>26</v>
      </c>
      <c r="Q376" s="10"/>
      <c r="R376" s="17"/>
      <c r="S376" s="17"/>
      <c r="T376" s="18">
        <v>125.24</v>
      </c>
      <c r="U376" s="18">
        <v>2504.8</v>
      </c>
      <c r="V376" s="16"/>
      <c r="W376">
        <f t="shared" si="51"/>
        <v>156.55</v>
      </c>
      <c r="X376">
        <f t="shared" si="52"/>
        <v>3131</v>
      </c>
      <c r="Y376">
        <f t="shared" si="53"/>
        <v>22.2056737588652</v>
      </c>
      <c r="Z376">
        <f t="shared" si="54"/>
        <v>444.113475177305</v>
      </c>
      <c r="AA376">
        <f t="shared" si="59"/>
        <v>0.100192</v>
      </c>
    </row>
    <row r="377" ht="76.8" spans="1:27">
      <c r="A377" s="21">
        <v>15</v>
      </c>
      <c r="B377" s="10" t="s">
        <v>26</v>
      </c>
      <c r="C377" s="10"/>
      <c r="D377" s="5">
        <f t="shared" si="60"/>
        <v>15</v>
      </c>
      <c r="E377" s="5" t="s">
        <v>26</v>
      </c>
      <c r="F377" s="20" t="s">
        <v>375</v>
      </c>
      <c r="G377" s="9" t="s">
        <v>37</v>
      </c>
      <c r="H377" s="9" t="s">
        <v>72</v>
      </c>
      <c r="I377" s="9" t="s">
        <v>64</v>
      </c>
      <c r="J377" s="9"/>
      <c r="K377" s="9" t="s">
        <v>31</v>
      </c>
      <c r="L377" s="9" t="s">
        <v>60</v>
      </c>
      <c r="M377" s="9" t="s">
        <v>244</v>
      </c>
      <c r="N377" s="22" t="s">
        <v>366</v>
      </c>
      <c r="O377" s="5">
        <v>15</v>
      </c>
      <c r="P377" s="5" t="s">
        <v>26</v>
      </c>
      <c r="Q377" s="10"/>
      <c r="R377" s="17"/>
      <c r="S377" s="17"/>
      <c r="T377" s="18">
        <v>14.5888888888889</v>
      </c>
      <c r="U377" s="18">
        <v>218.833333333333</v>
      </c>
      <c r="V377" s="16"/>
      <c r="W377">
        <f t="shared" si="51"/>
        <v>18.2361111111111</v>
      </c>
      <c r="X377">
        <f t="shared" si="52"/>
        <v>273.541666666667</v>
      </c>
      <c r="Y377">
        <f t="shared" si="53"/>
        <v>2.58668242710796</v>
      </c>
      <c r="Z377">
        <f t="shared" si="54"/>
        <v>38.8002364066194</v>
      </c>
      <c r="AA377">
        <f t="shared" si="59"/>
        <v>0.00875333333333332</v>
      </c>
    </row>
    <row r="378" ht="54" spans="1:27">
      <c r="A378" s="21">
        <v>53</v>
      </c>
      <c r="B378" s="10" t="s">
        <v>26</v>
      </c>
      <c r="C378" s="10"/>
      <c r="D378" s="5">
        <f t="shared" si="60"/>
        <v>53</v>
      </c>
      <c r="E378" s="5" t="s">
        <v>26</v>
      </c>
      <c r="F378" s="20" t="s">
        <v>378</v>
      </c>
      <c r="G378" s="9" t="s">
        <v>37</v>
      </c>
      <c r="H378" s="9" t="s">
        <v>29</v>
      </c>
      <c r="I378" s="9" t="s">
        <v>55</v>
      </c>
      <c r="J378" s="9"/>
      <c r="K378" s="9" t="s">
        <v>31</v>
      </c>
      <c r="L378" s="9" t="s">
        <v>60</v>
      </c>
      <c r="M378" s="9" t="s">
        <v>61</v>
      </c>
      <c r="N378" s="22" t="s">
        <v>366</v>
      </c>
      <c r="O378" s="5">
        <v>53</v>
      </c>
      <c r="P378" s="5" t="s">
        <v>26</v>
      </c>
      <c r="Q378" s="10"/>
      <c r="R378" s="17"/>
      <c r="S378" s="17"/>
      <c r="T378" s="18">
        <v>32.5444444444444</v>
      </c>
      <c r="U378" s="18">
        <v>1724.85555555555</v>
      </c>
      <c r="V378" s="16"/>
      <c r="W378">
        <f t="shared" si="51"/>
        <v>40.6805555555555</v>
      </c>
      <c r="X378">
        <f t="shared" si="52"/>
        <v>2156.06944444444</v>
      </c>
      <c r="Y378">
        <f t="shared" si="53"/>
        <v>5.7702915681639</v>
      </c>
      <c r="Z378">
        <f t="shared" si="54"/>
        <v>305.825453112687</v>
      </c>
      <c r="AA378">
        <f t="shared" si="59"/>
        <v>0.068994222222222</v>
      </c>
    </row>
    <row r="379" ht="54" spans="1:27">
      <c r="A379" s="21">
        <v>1</v>
      </c>
      <c r="B379" s="10" t="s">
        <v>26</v>
      </c>
      <c r="C379" s="10"/>
      <c r="D379" s="5">
        <f t="shared" si="60"/>
        <v>1</v>
      </c>
      <c r="E379" s="5" t="s">
        <v>26</v>
      </c>
      <c r="F379" s="20" t="s">
        <v>381</v>
      </c>
      <c r="G379" s="9" t="s">
        <v>39</v>
      </c>
      <c r="H379" s="9" t="s">
        <v>72</v>
      </c>
      <c r="I379" s="9" t="s">
        <v>64</v>
      </c>
      <c r="J379" s="9"/>
      <c r="K379" s="9" t="s">
        <v>31</v>
      </c>
      <c r="L379" s="9" t="s">
        <v>60</v>
      </c>
      <c r="M379" s="9" t="s">
        <v>142</v>
      </c>
      <c r="N379" s="22" t="s">
        <v>366</v>
      </c>
      <c r="O379" s="5">
        <v>1</v>
      </c>
      <c r="P379" s="5" t="s">
        <v>26</v>
      </c>
      <c r="Q379" s="10"/>
      <c r="R379" s="17"/>
      <c r="S379" s="17"/>
      <c r="T379" s="18">
        <v>35.9111111111111</v>
      </c>
      <c r="U379" s="18">
        <v>35.9111111111111</v>
      </c>
      <c r="V379" s="16"/>
      <c r="W379">
        <f t="shared" si="51"/>
        <v>44.8888888888889</v>
      </c>
      <c r="X379">
        <f t="shared" si="52"/>
        <v>44.8888888888889</v>
      </c>
      <c r="Y379">
        <f t="shared" si="53"/>
        <v>6.3672182821119</v>
      </c>
      <c r="Z379">
        <f t="shared" si="54"/>
        <v>6.3672182821119</v>
      </c>
      <c r="AA379">
        <f t="shared" si="59"/>
        <v>0.00143644444444444</v>
      </c>
    </row>
    <row r="380" ht="54" spans="1:27">
      <c r="A380" s="21">
        <v>18</v>
      </c>
      <c r="B380" s="10" t="s">
        <v>26</v>
      </c>
      <c r="C380" s="10"/>
      <c r="D380" s="5">
        <f t="shared" si="60"/>
        <v>18</v>
      </c>
      <c r="E380" s="5" t="s">
        <v>26</v>
      </c>
      <c r="F380" s="20" t="s">
        <v>382</v>
      </c>
      <c r="G380" s="9" t="s">
        <v>39</v>
      </c>
      <c r="H380" s="9" t="s">
        <v>29</v>
      </c>
      <c r="I380" s="9" t="s">
        <v>55</v>
      </c>
      <c r="J380" s="9"/>
      <c r="K380" s="9" t="s">
        <v>31</v>
      </c>
      <c r="L380" s="9" t="s">
        <v>60</v>
      </c>
      <c r="M380" s="9" t="s">
        <v>142</v>
      </c>
      <c r="N380" s="22" t="s">
        <v>366</v>
      </c>
      <c r="O380" s="5">
        <v>18</v>
      </c>
      <c r="P380" s="5" t="s">
        <v>26</v>
      </c>
      <c r="Q380" s="10"/>
      <c r="R380" s="17"/>
      <c r="S380" s="17"/>
      <c r="T380" s="18">
        <v>57.2333333333333</v>
      </c>
      <c r="U380" s="18">
        <v>1030.2</v>
      </c>
      <c r="V380" s="16"/>
      <c r="W380">
        <f t="shared" si="51"/>
        <v>71.5416666666666</v>
      </c>
      <c r="X380">
        <f t="shared" si="52"/>
        <v>1287.75</v>
      </c>
      <c r="Y380">
        <f t="shared" si="53"/>
        <v>10.1477541371158</v>
      </c>
      <c r="Z380">
        <f t="shared" si="54"/>
        <v>182.659574468085</v>
      </c>
      <c r="AA380">
        <f t="shared" si="59"/>
        <v>0.041208</v>
      </c>
    </row>
    <row r="381" ht="54" spans="1:27">
      <c r="A381" s="21">
        <v>2</v>
      </c>
      <c r="B381" s="10" t="s">
        <v>26</v>
      </c>
      <c r="C381" s="10"/>
      <c r="D381" s="5">
        <f t="shared" si="60"/>
        <v>2</v>
      </c>
      <c r="E381" s="5" t="s">
        <v>26</v>
      </c>
      <c r="F381" s="20" t="s">
        <v>387</v>
      </c>
      <c r="G381" s="9" t="s">
        <v>28</v>
      </c>
      <c r="H381" s="9" t="s">
        <v>72</v>
      </c>
      <c r="I381" s="9" t="s">
        <v>64</v>
      </c>
      <c r="J381" s="9"/>
      <c r="K381" s="9" t="s">
        <v>31</v>
      </c>
      <c r="L381" s="9" t="s">
        <v>60</v>
      </c>
      <c r="M381" s="9" t="s">
        <v>61</v>
      </c>
      <c r="N381" s="22" t="s">
        <v>366</v>
      </c>
      <c r="O381" s="5">
        <v>2</v>
      </c>
      <c r="P381" s="5" t="s">
        <v>26</v>
      </c>
      <c r="Q381" s="10"/>
      <c r="R381" s="17"/>
      <c r="S381" s="17"/>
      <c r="T381" s="18">
        <v>14.5888888888889</v>
      </c>
      <c r="U381" s="18">
        <v>29.1777777777778</v>
      </c>
      <c r="V381" s="16"/>
      <c r="W381">
        <f t="shared" si="51"/>
        <v>18.2361111111111</v>
      </c>
      <c r="X381">
        <f t="shared" si="52"/>
        <v>36.4722222222222</v>
      </c>
      <c r="Y381">
        <f t="shared" si="53"/>
        <v>2.58668242710796</v>
      </c>
      <c r="Z381">
        <f t="shared" si="54"/>
        <v>5.17336485421592</v>
      </c>
      <c r="AA381">
        <f t="shared" si="59"/>
        <v>0.00116711111111111</v>
      </c>
    </row>
    <row r="382" ht="54" spans="1:27">
      <c r="A382" s="21">
        <v>130</v>
      </c>
      <c r="B382" s="10" t="s">
        <v>26</v>
      </c>
      <c r="C382" s="10"/>
      <c r="D382" s="5">
        <f t="shared" si="60"/>
        <v>130</v>
      </c>
      <c r="E382" s="5" t="s">
        <v>26</v>
      </c>
      <c r="F382" s="20" t="s">
        <v>388</v>
      </c>
      <c r="G382" s="9" t="s">
        <v>37</v>
      </c>
      <c r="H382" s="9" t="s">
        <v>69</v>
      </c>
      <c r="I382" s="9" t="s">
        <v>64</v>
      </c>
      <c r="J382" s="9"/>
      <c r="K382" s="9" t="s">
        <v>31</v>
      </c>
      <c r="L382" s="9" t="s">
        <v>60</v>
      </c>
      <c r="M382" s="9" t="s">
        <v>61</v>
      </c>
      <c r="N382" s="22" t="s">
        <v>366</v>
      </c>
      <c r="O382" s="5">
        <v>130</v>
      </c>
      <c r="P382" s="5" t="s">
        <v>26</v>
      </c>
      <c r="Q382" s="10"/>
      <c r="R382" s="17"/>
      <c r="S382" s="17"/>
      <c r="T382" s="18">
        <v>11.2222222222222</v>
      </c>
      <c r="U382" s="18">
        <v>1458.88888888889</v>
      </c>
      <c r="V382" s="16"/>
      <c r="W382">
        <f t="shared" si="51"/>
        <v>14.0277777777778</v>
      </c>
      <c r="X382">
        <f t="shared" si="52"/>
        <v>1823.61111111111</v>
      </c>
      <c r="Y382">
        <f t="shared" si="53"/>
        <v>1.98975571315996</v>
      </c>
      <c r="Z382">
        <f t="shared" si="54"/>
        <v>258.668242710795</v>
      </c>
      <c r="AA382">
        <f t="shared" si="59"/>
        <v>0.0583555555555556</v>
      </c>
    </row>
    <row r="383" ht="54" spans="1:27">
      <c r="A383" s="21">
        <v>17</v>
      </c>
      <c r="B383" s="10" t="s">
        <v>26</v>
      </c>
      <c r="C383" s="10"/>
      <c r="D383" s="5">
        <f t="shared" si="60"/>
        <v>17</v>
      </c>
      <c r="E383" s="5" t="s">
        <v>26</v>
      </c>
      <c r="F383" s="20" t="s">
        <v>389</v>
      </c>
      <c r="G383" s="9" t="s">
        <v>150</v>
      </c>
      <c r="H383" s="9" t="s">
        <v>123</v>
      </c>
      <c r="I383" s="9" t="s">
        <v>114</v>
      </c>
      <c r="J383" s="9"/>
      <c r="K383" s="9" t="s">
        <v>31</v>
      </c>
      <c r="L383" s="9" t="s">
        <v>60</v>
      </c>
      <c r="M383" s="9" t="s">
        <v>342</v>
      </c>
      <c r="N383" s="22" t="s">
        <v>366</v>
      </c>
      <c r="O383" s="5">
        <v>17</v>
      </c>
      <c r="P383" s="5" t="s">
        <v>26</v>
      </c>
      <c r="Q383" s="10"/>
      <c r="R383" s="17"/>
      <c r="S383" s="17"/>
      <c r="T383" s="18">
        <v>35.9111111111111</v>
      </c>
      <c r="U383" s="18">
        <v>610.488888888889</v>
      </c>
      <c r="V383" s="16"/>
      <c r="W383">
        <f t="shared" si="51"/>
        <v>44.8888888888889</v>
      </c>
      <c r="X383">
        <f t="shared" si="52"/>
        <v>763.111111111111</v>
      </c>
      <c r="Y383">
        <f t="shared" si="53"/>
        <v>6.3672182821119</v>
      </c>
      <c r="Z383">
        <f t="shared" si="54"/>
        <v>108.242710795902</v>
      </c>
      <c r="AA383">
        <f t="shared" si="59"/>
        <v>0.0244195555555556</v>
      </c>
    </row>
    <row r="384" ht="108" spans="1:27">
      <c r="A384" s="5">
        <v>10</v>
      </c>
      <c r="B384" s="10" t="s">
        <v>26</v>
      </c>
      <c r="C384" s="10"/>
      <c r="D384" s="5">
        <f t="shared" si="60"/>
        <v>10</v>
      </c>
      <c r="E384" s="5" t="s">
        <v>26</v>
      </c>
      <c r="F384" s="6" t="s">
        <v>390</v>
      </c>
      <c r="G384" s="9" t="s">
        <v>162</v>
      </c>
      <c r="H384" s="9" t="s">
        <v>391</v>
      </c>
      <c r="I384" s="9"/>
      <c r="J384" s="9" t="s">
        <v>98</v>
      </c>
      <c r="K384" s="9" t="s">
        <v>44</v>
      </c>
      <c r="L384" s="9" t="s">
        <v>95</v>
      </c>
      <c r="M384" s="9" t="s">
        <v>467</v>
      </c>
      <c r="N384" s="22" t="s">
        <v>366</v>
      </c>
      <c r="O384" s="5">
        <v>10</v>
      </c>
      <c r="P384" s="5" t="s">
        <v>26</v>
      </c>
      <c r="Q384" s="19"/>
      <c r="R384" s="17"/>
      <c r="S384" s="17"/>
      <c r="T384" s="18">
        <v>212.1</v>
      </c>
      <c r="U384" s="18">
        <v>2121</v>
      </c>
      <c r="V384" s="16"/>
      <c r="W384">
        <f t="shared" si="51"/>
        <v>265.125</v>
      </c>
      <c r="X384">
        <f t="shared" si="52"/>
        <v>2651.25</v>
      </c>
      <c r="Y384">
        <f t="shared" si="53"/>
        <v>37.6063829787234</v>
      </c>
      <c r="Z384">
        <f t="shared" si="54"/>
        <v>376.063829787234</v>
      </c>
      <c r="AA384">
        <f t="shared" si="59"/>
        <v>0.08484</v>
      </c>
    </row>
    <row r="385" ht="73.2" spans="1:27">
      <c r="A385" s="5">
        <v>61</v>
      </c>
      <c r="B385" s="10" t="s">
        <v>26</v>
      </c>
      <c r="C385" s="10"/>
      <c r="D385" s="5">
        <f t="shared" si="60"/>
        <v>61</v>
      </c>
      <c r="E385" s="5" t="s">
        <v>26</v>
      </c>
      <c r="F385" s="6" t="s">
        <v>393</v>
      </c>
      <c r="G385" s="9" t="s">
        <v>394</v>
      </c>
      <c r="H385" s="9" t="s">
        <v>113</v>
      </c>
      <c r="I385" s="9"/>
      <c r="J385" s="9"/>
      <c r="K385" s="9" t="s">
        <v>261</v>
      </c>
      <c r="L385" s="9" t="s">
        <v>395</v>
      </c>
      <c r="M385" s="9" t="s">
        <v>455</v>
      </c>
      <c r="N385" s="22" t="s">
        <v>366</v>
      </c>
      <c r="O385" s="5">
        <v>61</v>
      </c>
      <c r="P385" s="5" t="s">
        <v>26</v>
      </c>
      <c r="Q385" s="19"/>
      <c r="R385" s="17"/>
      <c r="S385" s="17"/>
      <c r="T385" s="18"/>
      <c r="U385" s="18"/>
      <c r="V385" s="16" t="s">
        <v>279</v>
      </c>
      <c r="W385">
        <f t="shared" si="51"/>
        <v>0</v>
      </c>
      <c r="X385">
        <f t="shared" si="52"/>
        <v>0</v>
      </c>
      <c r="Y385">
        <f t="shared" si="53"/>
        <v>0</v>
      </c>
      <c r="Z385">
        <f t="shared" si="54"/>
        <v>0</v>
      </c>
      <c r="AA385">
        <f t="shared" si="59"/>
        <v>0</v>
      </c>
    </row>
    <row r="386" ht="92.4" spans="1:27">
      <c r="A386" s="5">
        <v>23</v>
      </c>
      <c r="B386" s="10" t="s">
        <v>26</v>
      </c>
      <c r="C386" s="10"/>
      <c r="D386" s="5">
        <f t="shared" si="60"/>
        <v>23</v>
      </c>
      <c r="E386" s="5" t="s">
        <v>26</v>
      </c>
      <c r="F386" s="6" t="s">
        <v>397</v>
      </c>
      <c r="G386" s="9" t="s">
        <v>162</v>
      </c>
      <c r="H386" s="9" t="s">
        <v>163</v>
      </c>
      <c r="I386" s="9"/>
      <c r="J386" s="9" t="s">
        <v>98</v>
      </c>
      <c r="K386" s="9" t="s">
        <v>44</v>
      </c>
      <c r="L386" s="9" t="s">
        <v>95</v>
      </c>
      <c r="M386" s="9" t="s">
        <v>468</v>
      </c>
      <c r="N386" s="22" t="s">
        <v>366</v>
      </c>
      <c r="O386" s="5">
        <v>23</v>
      </c>
      <c r="P386" s="5" t="s">
        <v>26</v>
      </c>
      <c r="Q386" s="19"/>
      <c r="R386" s="17"/>
      <c r="S386" s="17"/>
      <c r="T386" s="18">
        <v>156.55</v>
      </c>
      <c r="U386" s="18">
        <v>3600.65</v>
      </c>
      <c r="V386" s="16"/>
      <c r="W386">
        <f t="shared" si="51"/>
        <v>195.6875</v>
      </c>
      <c r="X386">
        <f t="shared" si="52"/>
        <v>4500.8125</v>
      </c>
      <c r="Y386">
        <f t="shared" si="53"/>
        <v>27.7570921985816</v>
      </c>
      <c r="Z386">
        <f t="shared" si="54"/>
        <v>638.413120567376</v>
      </c>
      <c r="AA386">
        <f t="shared" si="59"/>
        <v>0.144026</v>
      </c>
    </row>
    <row r="387" ht="76.8" spans="1:27">
      <c r="A387" s="5">
        <v>17</v>
      </c>
      <c r="B387" s="10" t="s">
        <v>26</v>
      </c>
      <c r="C387" s="10"/>
      <c r="D387" s="5">
        <f t="shared" si="60"/>
        <v>17</v>
      </c>
      <c r="E387" s="5" t="s">
        <v>26</v>
      </c>
      <c r="F387" s="6" t="s">
        <v>399</v>
      </c>
      <c r="G387" s="9" t="s">
        <v>277</v>
      </c>
      <c r="H387" s="9" t="s">
        <v>69</v>
      </c>
      <c r="I387" s="9"/>
      <c r="J387" s="9"/>
      <c r="K387" s="9" t="s">
        <v>261</v>
      </c>
      <c r="L387" s="9" t="s">
        <v>262</v>
      </c>
      <c r="M387" s="9" t="s">
        <v>469</v>
      </c>
      <c r="N387" s="22" t="s">
        <v>366</v>
      </c>
      <c r="O387" s="5">
        <v>17</v>
      </c>
      <c r="P387" s="5" t="s">
        <v>26</v>
      </c>
      <c r="Q387" s="19"/>
      <c r="R387" s="17"/>
      <c r="S387" s="17"/>
      <c r="T387" s="18"/>
      <c r="U387" s="18"/>
      <c r="V387" s="16" t="s">
        <v>279</v>
      </c>
      <c r="W387">
        <f t="shared" si="51"/>
        <v>0</v>
      </c>
      <c r="X387">
        <f t="shared" si="52"/>
        <v>0</v>
      </c>
      <c r="Y387">
        <f t="shared" si="53"/>
        <v>0</v>
      </c>
      <c r="Z387">
        <f t="shared" si="54"/>
        <v>0</v>
      </c>
      <c r="AA387">
        <f t="shared" si="59"/>
        <v>0</v>
      </c>
    </row>
    <row r="388" ht="54" spans="1:27">
      <c r="A388" s="5">
        <v>1</v>
      </c>
      <c r="B388" s="10" t="s">
        <v>26</v>
      </c>
      <c r="C388" s="10"/>
      <c r="D388" s="5">
        <f t="shared" si="60"/>
        <v>1</v>
      </c>
      <c r="E388" s="5" t="s">
        <v>26</v>
      </c>
      <c r="F388" s="6" t="s">
        <v>401</v>
      </c>
      <c r="G388" s="9" t="s">
        <v>402</v>
      </c>
      <c r="H388" s="9" t="s">
        <v>72</v>
      </c>
      <c r="I388" s="9"/>
      <c r="J388" s="9" t="s">
        <v>94</v>
      </c>
      <c r="K388" s="9" t="s">
        <v>44</v>
      </c>
      <c r="L388" s="9" t="s">
        <v>95</v>
      </c>
      <c r="M388" s="9" t="s">
        <v>403</v>
      </c>
      <c r="N388" s="22" t="s">
        <v>366</v>
      </c>
      <c r="O388" s="5">
        <v>1</v>
      </c>
      <c r="P388" s="5" t="s">
        <v>26</v>
      </c>
      <c r="Q388" s="19"/>
      <c r="R388" s="17"/>
      <c r="S388" s="17"/>
      <c r="T388" s="18">
        <v>50.5</v>
      </c>
      <c r="U388" s="18">
        <v>50.5</v>
      </c>
      <c r="V388" s="16"/>
      <c r="W388">
        <f t="shared" ref="W388:W402" si="61">T388*1.25</f>
        <v>63.125</v>
      </c>
      <c r="X388">
        <f t="shared" ref="X388:X403" si="62">W388*O388</f>
        <v>63.125</v>
      </c>
      <c r="Y388">
        <f t="shared" ref="Y388:Y402" si="63">W388/7.05</f>
        <v>8.95390070921986</v>
      </c>
      <c r="Z388">
        <f t="shared" ref="Z388:Z402" si="64">Y388*O388</f>
        <v>8.95390070921986</v>
      </c>
      <c r="AA388">
        <f t="shared" si="59"/>
        <v>0.00202</v>
      </c>
    </row>
    <row r="389" ht="73.2" spans="1:27">
      <c r="A389" s="5">
        <v>1</v>
      </c>
      <c r="B389" s="10" t="s">
        <v>26</v>
      </c>
      <c r="C389" s="10"/>
      <c r="D389" s="5">
        <f t="shared" si="60"/>
        <v>1</v>
      </c>
      <c r="E389" s="5" t="s">
        <v>26</v>
      </c>
      <c r="F389" s="6" t="s">
        <v>404</v>
      </c>
      <c r="G389" s="9" t="s">
        <v>253</v>
      </c>
      <c r="H389" s="9" t="s">
        <v>29</v>
      </c>
      <c r="I389" s="9" t="s">
        <v>55</v>
      </c>
      <c r="J389" s="9"/>
      <c r="K389" s="9" t="s">
        <v>254</v>
      </c>
      <c r="L389" s="9" t="s">
        <v>95</v>
      </c>
      <c r="M389" s="9" t="s">
        <v>386</v>
      </c>
      <c r="N389" s="22" t="s">
        <v>366</v>
      </c>
      <c r="O389" s="5">
        <v>1</v>
      </c>
      <c r="P389" s="5" t="s">
        <v>26</v>
      </c>
      <c r="Q389" s="19"/>
      <c r="R389" s="17"/>
      <c r="S389" s="17"/>
      <c r="T389" s="18">
        <v>22.4444444444444</v>
      </c>
      <c r="U389" s="18">
        <v>22.4444444444444</v>
      </c>
      <c r="V389" s="16"/>
      <c r="W389">
        <f t="shared" si="61"/>
        <v>28.0555555555555</v>
      </c>
      <c r="X389">
        <f t="shared" si="62"/>
        <v>28.0555555555555</v>
      </c>
      <c r="Y389">
        <f t="shared" si="63"/>
        <v>3.97951142631993</v>
      </c>
      <c r="Z389">
        <f t="shared" si="64"/>
        <v>3.97951142631993</v>
      </c>
      <c r="AA389">
        <f t="shared" si="59"/>
        <v>0.000897777777777776</v>
      </c>
    </row>
    <row r="390" ht="123.6" spans="1:27">
      <c r="A390" s="5">
        <v>23</v>
      </c>
      <c r="B390" s="10" t="s">
        <v>26</v>
      </c>
      <c r="C390" s="10"/>
      <c r="D390" s="5">
        <f t="shared" si="60"/>
        <v>23</v>
      </c>
      <c r="E390" s="5" t="s">
        <v>26</v>
      </c>
      <c r="F390" s="6" t="s">
        <v>405</v>
      </c>
      <c r="G390" s="9" t="s">
        <v>406</v>
      </c>
      <c r="H390" s="9" t="s">
        <v>407</v>
      </c>
      <c r="I390" s="9"/>
      <c r="J390" s="9"/>
      <c r="K390" s="9" t="s">
        <v>408</v>
      </c>
      <c r="L390" s="9" t="s">
        <v>409</v>
      </c>
      <c r="M390" s="9" t="s">
        <v>470</v>
      </c>
      <c r="N390" s="22" t="s">
        <v>366</v>
      </c>
      <c r="O390" s="5">
        <v>23</v>
      </c>
      <c r="P390" s="5" t="s">
        <v>26</v>
      </c>
      <c r="Q390" s="19"/>
      <c r="R390" s="17"/>
      <c r="S390" s="17"/>
      <c r="T390" s="18"/>
      <c r="U390" s="18"/>
      <c r="V390" s="16" t="s">
        <v>411</v>
      </c>
      <c r="W390">
        <f t="shared" si="61"/>
        <v>0</v>
      </c>
      <c r="X390">
        <f t="shared" si="62"/>
        <v>0</v>
      </c>
      <c r="Y390">
        <f t="shared" si="63"/>
        <v>0</v>
      </c>
      <c r="Z390">
        <f t="shared" si="64"/>
        <v>0</v>
      </c>
      <c r="AA390">
        <f>U390/35000</f>
        <v>0</v>
      </c>
    </row>
    <row r="391" ht="54" spans="1:27">
      <c r="A391" s="5">
        <v>44</v>
      </c>
      <c r="B391" s="10" t="s">
        <v>26</v>
      </c>
      <c r="C391" s="10"/>
      <c r="D391" s="5">
        <f t="shared" si="60"/>
        <v>44</v>
      </c>
      <c r="E391" s="5" t="s">
        <v>26</v>
      </c>
      <c r="F391" s="6" t="s">
        <v>412</v>
      </c>
      <c r="G391" s="9" t="s">
        <v>28</v>
      </c>
      <c r="H391" s="9" t="s">
        <v>29</v>
      </c>
      <c r="I391" s="9" t="s">
        <v>55</v>
      </c>
      <c r="J391" s="9"/>
      <c r="K391" s="9" t="s">
        <v>31</v>
      </c>
      <c r="L391" s="9" t="s">
        <v>60</v>
      </c>
      <c r="M391" s="9" t="s">
        <v>61</v>
      </c>
      <c r="N391" s="22" t="s">
        <v>366</v>
      </c>
      <c r="O391" s="5">
        <v>44</v>
      </c>
      <c r="P391" s="5" t="s">
        <v>26</v>
      </c>
      <c r="Q391" s="19"/>
      <c r="R391" s="17"/>
      <c r="S391" s="17"/>
      <c r="T391" s="18">
        <v>19.0777777777778</v>
      </c>
      <c r="U391" s="18">
        <v>839.422222222223</v>
      </c>
      <c r="V391" s="16"/>
      <c r="W391">
        <f t="shared" si="61"/>
        <v>23.8472222222222</v>
      </c>
      <c r="X391">
        <f t="shared" si="62"/>
        <v>1049.27777777778</v>
      </c>
      <c r="Y391">
        <f t="shared" si="63"/>
        <v>3.38258471237195</v>
      </c>
      <c r="Z391">
        <f t="shared" si="64"/>
        <v>148.833727344366</v>
      </c>
      <c r="AA391">
        <f t="shared" ref="AA391:AA400" si="65">U391/25000</f>
        <v>0.0335768888888889</v>
      </c>
    </row>
    <row r="392" ht="54" spans="1:27">
      <c r="A392" s="5">
        <v>7</v>
      </c>
      <c r="B392" s="10" t="s">
        <v>26</v>
      </c>
      <c r="C392" s="10"/>
      <c r="D392" s="5">
        <f t="shared" si="60"/>
        <v>7</v>
      </c>
      <c r="E392" s="5" t="s">
        <v>26</v>
      </c>
      <c r="F392" s="6" t="s">
        <v>413</v>
      </c>
      <c r="G392" s="9" t="s">
        <v>28</v>
      </c>
      <c r="H392" s="9" t="s">
        <v>57</v>
      </c>
      <c r="I392" s="9" t="s">
        <v>55</v>
      </c>
      <c r="J392" s="9"/>
      <c r="K392" s="9" t="s">
        <v>31</v>
      </c>
      <c r="L392" s="9" t="s">
        <v>60</v>
      </c>
      <c r="M392" s="9" t="s">
        <v>61</v>
      </c>
      <c r="N392" s="22" t="s">
        <v>366</v>
      </c>
      <c r="O392" s="5">
        <v>7</v>
      </c>
      <c r="P392" s="5" t="s">
        <v>26</v>
      </c>
      <c r="Q392" s="19"/>
      <c r="R392" s="17"/>
      <c r="S392" s="17"/>
      <c r="T392" s="18">
        <v>43.7666666666667</v>
      </c>
      <c r="U392" s="18">
        <v>306.366666666667</v>
      </c>
      <c r="V392" s="16"/>
      <c r="W392">
        <f t="shared" si="61"/>
        <v>54.7083333333334</v>
      </c>
      <c r="X392">
        <f t="shared" si="62"/>
        <v>382.958333333334</v>
      </c>
      <c r="Y392">
        <f t="shared" si="63"/>
        <v>7.76004728132388</v>
      </c>
      <c r="Z392">
        <f t="shared" si="64"/>
        <v>54.3203309692672</v>
      </c>
      <c r="AA392">
        <f t="shared" si="65"/>
        <v>0.0122546666666667</v>
      </c>
    </row>
    <row r="393" ht="54" spans="1:27">
      <c r="A393" s="5">
        <v>1</v>
      </c>
      <c r="B393" s="10" t="s">
        <v>26</v>
      </c>
      <c r="C393" s="10"/>
      <c r="D393" s="5">
        <f t="shared" si="60"/>
        <v>1</v>
      </c>
      <c r="E393" s="5" t="s">
        <v>26</v>
      </c>
      <c r="F393" s="6" t="s">
        <v>414</v>
      </c>
      <c r="G393" s="9" t="s">
        <v>28</v>
      </c>
      <c r="H393" s="9" t="s">
        <v>59</v>
      </c>
      <c r="I393" s="9" t="s">
        <v>55</v>
      </c>
      <c r="J393" s="9"/>
      <c r="K393" s="9" t="s">
        <v>31</v>
      </c>
      <c r="L393" s="9" t="s">
        <v>60</v>
      </c>
      <c r="M393" s="9" t="s">
        <v>61</v>
      </c>
      <c r="N393" s="22" t="s">
        <v>366</v>
      </c>
      <c r="O393" s="5">
        <v>1</v>
      </c>
      <c r="P393" s="5" t="s">
        <v>26</v>
      </c>
      <c r="Q393" s="19"/>
      <c r="R393" s="17"/>
      <c r="S393" s="17"/>
      <c r="T393" s="18">
        <v>70.7</v>
      </c>
      <c r="U393" s="18">
        <v>70.7</v>
      </c>
      <c r="V393" s="16"/>
      <c r="W393">
        <f t="shared" si="61"/>
        <v>88.375</v>
      </c>
      <c r="X393">
        <f t="shared" si="62"/>
        <v>88.375</v>
      </c>
      <c r="Y393">
        <f t="shared" si="63"/>
        <v>12.5354609929078</v>
      </c>
      <c r="Z393">
        <f t="shared" si="64"/>
        <v>12.5354609929078</v>
      </c>
      <c r="AA393">
        <f t="shared" si="65"/>
        <v>0.002828</v>
      </c>
    </row>
    <row r="394" ht="54" spans="1:27">
      <c r="A394" s="5">
        <v>20</v>
      </c>
      <c r="B394" s="10" t="s">
        <v>26</v>
      </c>
      <c r="C394" s="10"/>
      <c r="D394" s="5">
        <f t="shared" si="60"/>
        <v>20</v>
      </c>
      <c r="E394" s="5" t="s">
        <v>26</v>
      </c>
      <c r="F394" s="6" t="s">
        <v>415</v>
      </c>
      <c r="G394" s="9" t="s">
        <v>28</v>
      </c>
      <c r="H394" s="9" t="s">
        <v>69</v>
      </c>
      <c r="I394" s="9" t="s">
        <v>64</v>
      </c>
      <c r="J394" s="9"/>
      <c r="K394" s="9" t="s">
        <v>31</v>
      </c>
      <c r="L394" s="9" t="s">
        <v>60</v>
      </c>
      <c r="M394" s="9" t="s">
        <v>61</v>
      </c>
      <c r="N394" s="22" t="s">
        <v>366</v>
      </c>
      <c r="O394" s="5">
        <v>20</v>
      </c>
      <c r="P394" s="5" t="s">
        <v>26</v>
      </c>
      <c r="Q394" s="19"/>
      <c r="R394" s="17"/>
      <c r="S394" s="17"/>
      <c r="T394" s="18">
        <v>11.2222222222222</v>
      </c>
      <c r="U394" s="18">
        <v>224.444444444444</v>
      </c>
      <c r="V394" s="16"/>
      <c r="W394">
        <f t="shared" si="61"/>
        <v>14.0277777777778</v>
      </c>
      <c r="X394">
        <f t="shared" si="62"/>
        <v>280.555555555555</v>
      </c>
      <c r="Y394">
        <f t="shared" si="63"/>
        <v>1.98975571315996</v>
      </c>
      <c r="Z394">
        <f t="shared" si="64"/>
        <v>39.7951142631993</v>
      </c>
      <c r="AA394">
        <f t="shared" si="65"/>
        <v>0.00897777777777776</v>
      </c>
    </row>
    <row r="395" ht="54" spans="1:27">
      <c r="A395" s="5">
        <v>1</v>
      </c>
      <c r="B395" s="10" t="s">
        <v>26</v>
      </c>
      <c r="C395" s="10"/>
      <c r="D395" s="5">
        <f t="shared" si="60"/>
        <v>1</v>
      </c>
      <c r="E395" s="5" t="s">
        <v>26</v>
      </c>
      <c r="F395" s="6" t="s">
        <v>416</v>
      </c>
      <c r="G395" s="9" t="s">
        <v>28</v>
      </c>
      <c r="H395" s="9" t="s">
        <v>72</v>
      </c>
      <c r="I395" s="9" t="s">
        <v>64</v>
      </c>
      <c r="J395" s="9"/>
      <c r="K395" s="9" t="s">
        <v>31</v>
      </c>
      <c r="L395" s="9" t="s">
        <v>60</v>
      </c>
      <c r="M395" s="9" t="s">
        <v>247</v>
      </c>
      <c r="N395" s="22" t="s">
        <v>366</v>
      </c>
      <c r="O395" s="5">
        <v>1</v>
      </c>
      <c r="P395" s="5" t="s">
        <v>26</v>
      </c>
      <c r="Q395" s="19"/>
      <c r="R395" s="17"/>
      <c r="S395" s="17"/>
      <c r="T395" s="18">
        <v>33.6666666666667</v>
      </c>
      <c r="U395" s="18">
        <v>33.6666666666667</v>
      </c>
      <c r="V395" s="16"/>
      <c r="W395">
        <f t="shared" si="61"/>
        <v>42.0833333333334</v>
      </c>
      <c r="X395">
        <f t="shared" si="62"/>
        <v>42.0833333333334</v>
      </c>
      <c r="Y395">
        <f t="shared" si="63"/>
        <v>5.96926713947991</v>
      </c>
      <c r="Z395">
        <f t="shared" si="64"/>
        <v>5.96926713947991</v>
      </c>
      <c r="AA395">
        <f t="shared" si="65"/>
        <v>0.00134666666666667</v>
      </c>
    </row>
    <row r="396" ht="54" spans="1:27">
      <c r="A396" s="5">
        <v>8</v>
      </c>
      <c r="B396" s="10" t="s">
        <v>26</v>
      </c>
      <c r="C396" s="10"/>
      <c r="D396" s="5">
        <f t="shared" si="60"/>
        <v>8</v>
      </c>
      <c r="E396" s="5" t="s">
        <v>26</v>
      </c>
      <c r="F396" s="6" t="s">
        <v>417</v>
      </c>
      <c r="G396" s="9" t="s">
        <v>28</v>
      </c>
      <c r="H396" s="9" t="s">
        <v>69</v>
      </c>
      <c r="I396" s="9" t="s">
        <v>64</v>
      </c>
      <c r="J396" s="9"/>
      <c r="K396" s="9" t="s">
        <v>31</v>
      </c>
      <c r="L396" s="9" t="s">
        <v>60</v>
      </c>
      <c r="M396" s="9" t="s">
        <v>70</v>
      </c>
      <c r="N396" s="22" t="s">
        <v>366</v>
      </c>
      <c r="O396" s="5">
        <v>8</v>
      </c>
      <c r="P396" s="5" t="s">
        <v>26</v>
      </c>
      <c r="Q396" s="19"/>
      <c r="R396" s="17"/>
      <c r="S396" s="17"/>
      <c r="T396" s="18">
        <v>22.4444444444444</v>
      </c>
      <c r="U396" s="18">
        <v>179.555555555555</v>
      </c>
      <c r="V396" s="16"/>
      <c r="W396">
        <f t="shared" si="61"/>
        <v>28.0555555555555</v>
      </c>
      <c r="X396">
        <f t="shared" si="62"/>
        <v>224.444444444444</v>
      </c>
      <c r="Y396">
        <f t="shared" si="63"/>
        <v>3.97951142631993</v>
      </c>
      <c r="Z396">
        <f t="shared" si="64"/>
        <v>31.8360914105594</v>
      </c>
      <c r="AA396">
        <f t="shared" si="65"/>
        <v>0.0071822222222222</v>
      </c>
    </row>
    <row r="397" ht="54" spans="1:27">
      <c r="A397" s="5">
        <v>3</v>
      </c>
      <c r="B397" s="10" t="s">
        <v>26</v>
      </c>
      <c r="C397" s="10"/>
      <c r="D397" s="5">
        <f t="shared" si="60"/>
        <v>3</v>
      </c>
      <c r="E397" s="5" t="s">
        <v>26</v>
      </c>
      <c r="F397" s="6" t="s">
        <v>418</v>
      </c>
      <c r="G397" s="9" t="s">
        <v>37</v>
      </c>
      <c r="H397" s="9" t="s">
        <v>59</v>
      </c>
      <c r="I397" s="9" t="s">
        <v>55</v>
      </c>
      <c r="J397" s="9"/>
      <c r="K397" s="9" t="s">
        <v>31</v>
      </c>
      <c r="L397" s="9" t="s">
        <v>60</v>
      </c>
      <c r="M397" s="9" t="s">
        <v>61</v>
      </c>
      <c r="N397" s="22" t="s">
        <v>366</v>
      </c>
      <c r="O397" s="5">
        <v>3</v>
      </c>
      <c r="P397" s="5" t="s">
        <v>26</v>
      </c>
      <c r="Q397" s="19"/>
      <c r="R397" s="17"/>
      <c r="S397" s="17"/>
      <c r="T397" s="18">
        <v>117.833333333333</v>
      </c>
      <c r="U397" s="18">
        <v>353.499999999999</v>
      </c>
      <c r="V397" s="16"/>
      <c r="W397">
        <f t="shared" si="61"/>
        <v>147.291666666666</v>
      </c>
      <c r="X397">
        <f t="shared" si="62"/>
        <v>441.874999999999</v>
      </c>
      <c r="Y397">
        <f t="shared" si="63"/>
        <v>20.8924349881796</v>
      </c>
      <c r="Z397">
        <f t="shared" si="64"/>
        <v>62.6773049645388</v>
      </c>
      <c r="AA397">
        <f t="shared" si="65"/>
        <v>0.01414</v>
      </c>
    </row>
    <row r="398" ht="54" spans="1:27">
      <c r="A398" s="5">
        <v>10</v>
      </c>
      <c r="B398" s="10" t="s">
        <v>26</v>
      </c>
      <c r="C398" s="10"/>
      <c r="D398" s="5">
        <f t="shared" si="60"/>
        <v>10</v>
      </c>
      <c r="E398" s="5" t="s">
        <v>26</v>
      </c>
      <c r="F398" s="6" t="s">
        <v>419</v>
      </c>
      <c r="G398" s="9" t="s">
        <v>42</v>
      </c>
      <c r="H398" s="9" t="s">
        <v>57</v>
      </c>
      <c r="I398" s="9" t="s">
        <v>55</v>
      </c>
      <c r="J398" s="9" t="s">
        <v>98</v>
      </c>
      <c r="K398" s="9" t="s">
        <v>44</v>
      </c>
      <c r="L398" s="9" t="s">
        <v>95</v>
      </c>
      <c r="M398" s="9" t="s">
        <v>171</v>
      </c>
      <c r="N398" s="22" t="s">
        <v>366</v>
      </c>
      <c r="O398" s="5">
        <v>10</v>
      </c>
      <c r="P398" s="5" t="s">
        <v>26</v>
      </c>
      <c r="Q398" s="19"/>
      <c r="R398" s="17"/>
      <c r="S398" s="17"/>
      <c r="T398" s="18">
        <v>169.68</v>
      </c>
      <c r="U398" s="18">
        <v>1696.8</v>
      </c>
      <c r="V398" s="16"/>
      <c r="W398">
        <f t="shared" si="61"/>
        <v>212.1</v>
      </c>
      <c r="X398">
        <f t="shared" si="62"/>
        <v>2121</v>
      </c>
      <c r="Y398">
        <f t="shared" si="63"/>
        <v>30.0851063829787</v>
      </c>
      <c r="Z398">
        <f t="shared" si="64"/>
        <v>300.851063829787</v>
      </c>
      <c r="AA398">
        <f t="shared" si="65"/>
        <v>0.067872</v>
      </c>
    </row>
    <row r="399" ht="66" spans="1:27">
      <c r="A399" s="5">
        <v>77</v>
      </c>
      <c r="B399" s="10" t="s">
        <v>26</v>
      </c>
      <c r="C399" s="10"/>
      <c r="D399" s="5">
        <f t="shared" si="60"/>
        <v>77</v>
      </c>
      <c r="E399" s="5" t="s">
        <v>26</v>
      </c>
      <c r="F399" s="6" t="s">
        <v>420</v>
      </c>
      <c r="G399" s="9" t="s">
        <v>42</v>
      </c>
      <c r="H399" s="9" t="s">
        <v>69</v>
      </c>
      <c r="I399" s="9" t="s">
        <v>64</v>
      </c>
      <c r="J399" s="9" t="s">
        <v>94</v>
      </c>
      <c r="K399" s="9" t="s">
        <v>44</v>
      </c>
      <c r="L399" s="9" t="s">
        <v>95</v>
      </c>
      <c r="M399" s="9" t="s">
        <v>242</v>
      </c>
      <c r="N399" s="22" t="s">
        <v>366</v>
      </c>
      <c r="O399" s="5">
        <v>77</v>
      </c>
      <c r="P399" s="5" t="s">
        <v>26</v>
      </c>
      <c r="Q399" s="19"/>
      <c r="R399" s="17"/>
      <c r="S399" s="17"/>
      <c r="T399" s="18">
        <v>55.55</v>
      </c>
      <c r="U399" s="18">
        <v>4277.35</v>
      </c>
      <c r="V399" s="16"/>
      <c r="W399">
        <f t="shared" si="61"/>
        <v>69.4375</v>
      </c>
      <c r="X399">
        <f t="shared" si="62"/>
        <v>5346.6875</v>
      </c>
      <c r="Y399">
        <f t="shared" si="63"/>
        <v>9.84929078014184</v>
      </c>
      <c r="Z399">
        <f t="shared" si="64"/>
        <v>758.395390070922</v>
      </c>
      <c r="AA399">
        <f t="shared" si="65"/>
        <v>0.171094</v>
      </c>
    </row>
    <row r="400" ht="54" spans="1:27">
      <c r="A400" s="5">
        <v>24</v>
      </c>
      <c r="B400" s="10" t="s">
        <v>26</v>
      </c>
      <c r="C400" s="10"/>
      <c r="D400" s="5">
        <f t="shared" si="60"/>
        <v>24</v>
      </c>
      <c r="E400" s="5" t="s">
        <v>26</v>
      </c>
      <c r="F400" s="6" t="s">
        <v>421</v>
      </c>
      <c r="G400" s="9" t="s">
        <v>42</v>
      </c>
      <c r="H400" s="9" t="s">
        <v>72</v>
      </c>
      <c r="I400" s="9" t="s">
        <v>64</v>
      </c>
      <c r="J400" s="9" t="s">
        <v>94</v>
      </c>
      <c r="K400" s="9" t="s">
        <v>44</v>
      </c>
      <c r="L400" s="9" t="s">
        <v>95</v>
      </c>
      <c r="M400" s="9" t="s">
        <v>171</v>
      </c>
      <c r="N400" s="22" t="s">
        <v>366</v>
      </c>
      <c r="O400" s="5">
        <v>24</v>
      </c>
      <c r="P400" s="5" t="s">
        <v>26</v>
      </c>
      <c r="Q400" s="19"/>
      <c r="R400" s="17"/>
      <c r="S400" s="17"/>
      <c r="T400" s="18">
        <v>60.6</v>
      </c>
      <c r="U400" s="18">
        <v>1454.4</v>
      </c>
      <c r="V400" s="16"/>
      <c r="W400">
        <f t="shared" si="61"/>
        <v>75.75</v>
      </c>
      <c r="X400">
        <f t="shared" si="62"/>
        <v>1818</v>
      </c>
      <c r="Y400">
        <f t="shared" si="63"/>
        <v>10.7446808510638</v>
      </c>
      <c r="Z400">
        <f t="shared" si="64"/>
        <v>257.872340425532</v>
      </c>
      <c r="AA400">
        <f t="shared" si="65"/>
        <v>0.058176</v>
      </c>
    </row>
    <row r="401" ht="116.4" spans="1:27">
      <c r="A401" s="5">
        <v>10</v>
      </c>
      <c r="B401" s="10" t="s">
        <v>26</v>
      </c>
      <c r="C401" s="10"/>
      <c r="D401" s="5">
        <f t="shared" si="60"/>
        <v>10</v>
      </c>
      <c r="E401" s="5" t="s">
        <v>26</v>
      </c>
      <c r="F401" s="6" t="s">
        <v>422</v>
      </c>
      <c r="G401" s="9" t="s">
        <v>166</v>
      </c>
      <c r="H401" s="9" t="s">
        <v>77</v>
      </c>
      <c r="I401" s="9"/>
      <c r="J401" s="9" t="s">
        <v>471</v>
      </c>
      <c r="K401" s="9" t="s">
        <v>424</v>
      </c>
      <c r="L401" s="9" t="s">
        <v>472</v>
      </c>
      <c r="M401" s="9" t="s">
        <v>473</v>
      </c>
      <c r="N401" s="22" t="s">
        <v>366</v>
      </c>
      <c r="O401" s="5">
        <v>10</v>
      </c>
      <c r="P401" s="5" t="s">
        <v>26</v>
      </c>
      <c r="Q401" s="19"/>
      <c r="R401" s="17"/>
      <c r="S401" s="17"/>
      <c r="T401" s="18">
        <v>51.5</v>
      </c>
      <c r="U401" s="18">
        <v>515</v>
      </c>
      <c r="V401" s="16"/>
      <c r="W401">
        <f t="shared" si="61"/>
        <v>64.375</v>
      </c>
      <c r="X401">
        <f t="shared" si="62"/>
        <v>643.75</v>
      </c>
      <c r="Y401">
        <f t="shared" si="63"/>
        <v>9.13120567375887</v>
      </c>
      <c r="Z401">
        <f t="shared" si="64"/>
        <v>91.3120567375886</v>
      </c>
      <c r="AA401">
        <f>U401/35000</f>
        <v>0.0147142857142857</v>
      </c>
    </row>
    <row r="402" ht="132" spans="1:27">
      <c r="A402" s="5">
        <v>6</v>
      </c>
      <c r="B402" s="10" t="s">
        <v>26</v>
      </c>
      <c r="C402" s="10"/>
      <c r="D402" s="5">
        <f t="shared" si="60"/>
        <v>6</v>
      </c>
      <c r="E402" s="5" t="s">
        <v>26</v>
      </c>
      <c r="F402" s="6" t="s">
        <v>427</v>
      </c>
      <c r="G402" s="9" t="s">
        <v>39</v>
      </c>
      <c r="H402" s="9" t="s">
        <v>57</v>
      </c>
      <c r="I402" s="9" t="s">
        <v>55</v>
      </c>
      <c r="J402" s="9"/>
      <c r="K402" s="9" t="s">
        <v>31</v>
      </c>
      <c r="L402" s="9" t="s">
        <v>474</v>
      </c>
      <c r="M402" s="9" t="s">
        <v>475</v>
      </c>
      <c r="N402" s="22" t="s">
        <v>366</v>
      </c>
      <c r="O402" s="5">
        <v>6</v>
      </c>
      <c r="P402" s="5" t="s">
        <v>26</v>
      </c>
      <c r="Q402" s="19"/>
      <c r="R402" s="17"/>
      <c r="S402" s="17"/>
      <c r="T402" s="18">
        <v>112.222222222222</v>
      </c>
      <c r="U402" s="18">
        <v>673.333333333333</v>
      </c>
      <c r="V402" s="16"/>
      <c r="W402">
        <f t="shared" si="61"/>
        <v>140.277777777777</v>
      </c>
      <c r="X402">
        <f t="shared" si="62"/>
        <v>841.666666666665</v>
      </c>
      <c r="Y402">
        <f t="shared" si="63"/>
        <v>19.8975571315996</v>
      </c>
      <c r="Z402">
        <f t="shared" si="64"/>
        <v>119.385342789598</v>
      </c>
      <c r="AA402">
        <f>U402/25000</f>
        <v>0.0269333333333333</v>
      </c>
    </row>
    <row r="403" ht="60" customHeight="1" spans="20:29">
      <c r="T403" s="16"/>
      <c r="U403" s="16">
        <v>2757982.96</v>
      </c>
      <c r="V403" s="16"/>
      <c r="X403">
        <f>SUM(X3:X402)</f>
        <v>3451055.78333333</v>
      </c>
      <c r="Y403" s="26" t="s">
        <v>476</v>
      </c>
      <c r="Z403" s="26">
        <f>SUM(Z3:Z402)</f>
        <v>489511.458628842</v>
      </c>
      <c r="AA403">
        <f>SUM(AA3:AA402)</f>
        <v>110.375548368254</v>
      </c>
      <c r="AC403">
        <f>110/23</f>
        <v>4.78260869565217</v>
      </c>
    </row>
    <row r="404" spans="25:27">
      <c r="Y404" s="27" t="s">
        <v>477</v>
      </c>
      <c r="Z404" s="26">
        <f>(4500*5)*1.1/7.05</f>
        <v>3510.63829787234</v>
      </c>
      <c r="AA404">
        <f>U404/35000</f>
        <v>0</v>
      </c>
    </row>
    <row r="405" spans="25:26">
      <c r="Y405" s="26" t="s">
        <v>478</v>
      </c>
      <c r="Z405" s="26">
        <f>SUM(Z403:Z404)</f>
        <v>493022.096926714</v>
      </c>
    </row>
    <row r="411" spans="7:9">
      <c r="G411" s="24" t="s">
        <v>479</v>
      </c>
      <c r="H411" s="25"/>
      <c r="I411" s="25"/>
    </row>
    <row r="412" spans="7:9">
      <c r="G412" s="25"/>
      <c r="H412" s="25"/>
      <c r="I412" s="25"/>
    </row>
    <row r="413" spans="7:9">
      <c r="G413" s="25"/>
      <c r="H413" s="25"/>
      <c r="I413" s="25"/>
    </row>
    <row r="414" spans="7:9">
      <c r="G414" s="25"/>
      <c r="H414" s="25"/>
      <c r="I414" s="25"/>
    </row>
    <row r="415" spans="7:9">
      <c r="G415" s="25"/>
      <c r="H415" s="25"/>
      <c r="I415" s="25"/>
    </row>
    <row r="416" spans="7:9">
      <c r="G416" s="25"/>
      <c r="H416" s="25"/>
      <c r="I416" s="25"/>
    </row>
    <row r="417" spans="7:9">
      <c r="G417" s="25"/>
      <c r="H417" s="25"/>
      <c r="I417" s="25"/>
    </row>
    <row r="418" spans="7:9">
      <c r="G418" s="25"/>
      <c r="H418" s="25"/>
      <c r="I418" s="25"/>
    </row>
    <row r="419" spans="7:9">
      <c r="G419" s="25"/>
      <c r="H419" s="25"/>
      <c r="I419" s="25"/>
    </row>
  </sheetData>
  <autoFilter xmlns:etc="http://www.wps.cn/officeDocument/2017/etCustomData" ref="A2:V403" etc:filterBottomFollowUsedRange="0">
    <extLst/>
  </autoFilter>
  <mergeCells count="2">
    <mergeCell ref="R1:S1"/>
    <mergeCell ref="G411:I419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6421FB7-B337-4751-B83B-6ADACA87AA61}">
  <ds:schemaRefs/>
</ds:datastoreItem>
</file>

<file path=customXml/itemProps2.xml><?xml version="1.0" encoding="utf-8"?>
<ds:datastoreItem xmlns:ds="http://schemas.openxmlformats.org/officeDocument/2006/customXml" ds:itemID="{6955476F-C015-4983-A111-DE8D469328A0}">
  <ds:schemaRefs/>
</ds:datastoreItem>
</file>

<file path=customXml/itemProps3.xml><?xml version="1.0" encoding="utf-8"?>
<ds:datastoreItem xmlns:ds="http://schemas.openxmlformats.org/officeDocument/2006/customXml" ds:itemID="{1E195F3E-FEBC-4BD8-A708-6C967AF6FF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See Hui</dc:creator>
  <cp:lastModifiedBy>Administrator</cp:lastModifiedBy>
  <dcterms:created xsi:type="dcterms:W3CDTF">2025-10-08T00:54:00Z</dcterms:created>
  <dcterms:modified xsi:type="dcterms:W3CDTF">2025-10-30T06:06:16Z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0x0101004EC5CBD40CB9464EBC9A7CA29481DCCC</vt:lpwstr>
  </property>
  <property fmtid="{D5CDD505-2E9C-101B-9397-08002B2CF9AE}" pid="3" name="MediaServiceImageTags">
    <vt:lpwstr/>
  </property>
  <property fmtid="{D5CDD505-2E9C-101B-9397-08002B2CF9AE}" pid="4" name="KSOProductBuildVer">
    <vt:lpwstr>2052-12.1.0.23125</vt:lpwstr>
  </property>
  <property fmtid="{D5CDD505-2E9C-101B-9397-08002B2CF9AE}" pid="5" name="ICV">
    <vt:lpwstr>A96920B01C4C4F598E8E0185789C8405_13</vt:lpwstr>
  </property>
  <property fmtid="{D5CDD505-2E9C-101B-9397-08002B2CF9AE}" pid="6" name="KSOReadingLayout">
    <vt:bool>true</vt:bool>
  </property>
</Properties>
</file>