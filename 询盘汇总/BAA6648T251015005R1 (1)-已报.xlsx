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CN25883-J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<sst xmlns="http://schemas.openxmlformats.org/spreadsheetml/2006/main" count="72" uniqueCount="64">
  <si>
    <t>Item of requisition</t>
  </si>
  <si>
    <t>Description 1</t>
  </si>
  <si>
    <t>Description 2</t>
  </si>
  <si>
    <t>Description 3</t>
  </si>
  <si>
    <t>名称</t>
  </si>
  <si>
    <t>尺寸</t>
  </si>
  <si>
    <t>壁厚</t>
  </si>
  <si>
    <t>材质</t>
  </si>
  <si>
    <t>标准</t>
  </si>
  <si>
    <t>压力</t>
  </si>
  <si>
    <t>备注</t>
  </si>
  <si>
    <t>Quantity requested</t>
  </si>
  <si>
    <t>Unit of Measure</t>
  </si>
  <si>
    <t xml:space="preserve">Unit price </t>
  </si>
  <si>
    <t>Total price</t>
  </si>
  <si>
    <t>单价</t>
  </si>
  <si>
    <t>总价</t>
  </si>
  <si>
    <t>报价单价</t>
  </si>
  <si>
    <t>报价总价</t>
  </si>
  <si>
    <t>报价美元单价</t>
  </si>
  <si>
    <t>报价美元总价</t>
  </si>
  <si>
    <t>DN50 PN16 FLANGE BLIND, RF, BS EN</t>
  </si>
  <si>
    <t>1092-1, PN16, SS BS EN 10028-7 1.4410</t>
  </si>
  <si>
    <t/>
  </si>
  <si>
    <t>盲板法兰（FLANGE BLIND）</t>
  </si>
  <si>
    <t>DN50</t>
  </si>
  <si>
    <t>不锈钢（SS）1.4410（符合 BS EN 10028-7 标准）</t>
  </si>
  <si>
    <t>BS EN 1092-1</t>
  </si>
  <si>
    <t>PN16（1.6MPa）</t>
  </si>
  <si>
    <t>密封面形式为 RF（凸面）</t>
  </si>
  <si>
    <t>PC</t>
  </si>
  <si>
    <t>48.3mmOD 2.6mmTHK ELBOW 45DEG, (5D), SS</t>
  </si>
  <si>
    <t>BS EN 10253-4, BS EN 10216-5, 1.4410,</t>
  </si>
  <si>
    <t>SMLS, BWE, TYPE A</t>
  </si>
  <si>
    <t>45 度弯头（ELBOW 45DEG）</t>
  </si>
  <si>
    <t>外径 48.3mm，弯曲半径 5D</t>
  </si>
  <si>
    <t>2.6mm</t>
  </si>
  <si>
    <t>不锈钢（SS）1.4410（符合 BS EN 10216-5 标准）</t>
  </si>
  <si>
    <t>BS EN 10253-4、BS EN 10216-5</t>
  </si>
  <si>
    <t>SMLS（无缝）、BWE（对焊端）、TYPE A（A 型）</t>
  </si>
  <si>
    <t>323.9mmOD 4.5mmTHK ELBOW 90DEG, (3D),</t>
  </si>
  <si>
    <t>SS BS EN 10253-4, BS EN 10217-7, 1.4410,</t>
  </si>
  <si>
    <t>EFW, TC1, BWE, TYPE A</t>
  </si>
  <si>
    <t>90 度弯头（ELBOW 90DEG）</t>
  </si>
  <si>
    <t>外径 323.9mm，弯曲半径 3D</t>
  </si>
  <si>
    <t>4.5mm</t>
  </si>
  <si>
    <t>不锈钢（SS）1.4410（符合 BS EN 10217-7 标准）</t>
  </si>
  <si>
    <t>BS EN 10253-4、BS EN 10217-7</t>
  </si>
  <si>
    <t>EFW（电熔焊）、TC1（公差等级 1）、BWE（对焊端）、TYPE A（A 型）</t>
  </si>
  <si>
    <t>88.9mmOD x 48.3mmOD 2.9mmTHK x 2.6mmTHK</t>
  </si>
  <si>
    <t>ECC REDUCER, SS BS EN 10253-4, BS EN</t>
  </si>
  <si>
    <t>10216-5, 1.4410, SMLS, BWE, TYPE A</t>
  </si>
  <si>
    <t>偏心异径管（ECC REDUCER）</t>
  </si>
  <si>
    <t>外径 88.9mm×48.3mm</t>
  </si>
  <si>
    <t>2.9mm×2.6mm</t>
  </si>
  <si>
    <t>1.5" x 0.5" Red. Thd. Flg., Manf. Std.</t>
  </si>
  <si>
    <t>to EN 1092-1, PN40, RF x FTE (NPTF), Wst 1.4410 to EN 10222-5</t>
  </si>
  <si>
    <t>异径螺纹法兰（Red. Thd. Flg.）</t>
  </si>
  <si>
    <t>1.5 英寸 ×0.5 英寸</t>
  </si>
  <si>
    <r>
      <rPr>
        <sz val="12"/>
        <color rgb="FF000000"/>
        <rFont val="Segoe UI"/>
        <charset val="134"/>
      </rPr>
      <t xml:space="preserve"> 1.4410</t>
    </r>
    <r>
      <rPr>
        <sz val="12"/>
        <color rgb="FF000000"/>
        <rFont val="宋体"/>
        <charset val="134"/>
      </rPr>
      <t>（符合</t>
    </r>
    <r>
      <rPr>
        <sz val="12"/>
        <color rgb="FF000000"/>
        <rFont val="Segoe UI"/>
        <charset val="134"/>
      </rPr>
      <t xml:space="preserve"> EN 10222-5 </t>
    </r>
    <r>
      <rPr>
        <sz val="12"/>
        <color rgb="FF000000"/>
        <rFont val="宋体"/>
        <charset val="134"/>
      </rPr>
      <t>标准）</t>
    </r>
  </si>
  <si>
    <r>
      <rPr>
        <sz val="12"/>
        <color rgb="FF000000"/>
        <rFont val="Segoe UI"/>
        <charset val="134"/>
      </rPr>
      <t xml:space="preserve"> EN 1092-1</t>
    </r>
    <r>
      <rPr>
        <sz val="12"/>
        <color rgb="FF000000"/>
        <rFont val="宋体"/>
        <charset val="134"/>
      </rPr>
      <t>）</t>
    </r>
  </si>
  <si>
    <t>PN40（4.0MPa）</t>
  </si>
  <si>
    <t>连接形式为 RF（凸面）×FTE（内螺纹端），螺纹类型为 NPTF（干密封锥管螺纹）</t>
  </si>
  <si>
    <t>含税出厂价  工期50天 25/10/17董晓文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</si>
</sst>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sz val="10"/>
      <name val="宋体"/>
      <charset val="134"/>
    </font>
    <font>
      <sz val="12"/>
      <color rgb="FF000000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wrapText="1"/>
    </xf>
    <xf numFmtId="0" fontId="0" fillId="4" borderId="2" xfId="0" applyFill="1" applyBorder="1" applyAlignment="1">
      <alignment horizontal="center" vertical="top"/>
    </xf>
    <xf numFmtId="3" fontId="0" fillId="2" borderId="1" xfId="49" applyNumberFormat="1" applyFill="1" applyBorder="1" applyAlignment="1">
      <alignment horizontal="center" vertical="center" wrapText="1"/>
    </xf>
    <xf numFmtId="0" fontId="0" fillId="2" borderId="1" xfId="49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top"/>
    </xf>
    <xf numFmtId="0" fontId="1" fillId="0" borderId="0" xfId="0" applyFont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tabSelected="1" topLeftCell="H1" workbookViewId="0">
      <selection activeCell="Q11" sqref="Q11"/>
    </sheetView>
  </sheetViews>
  <sheetFormatPr defaultColWidth="9" defaultRowHeight="13.2"/>
  <cols>
    <col min="1" max="1" width="8.42592592592593" style="1" customWidth="1"/>
    <col min="2" max="2" width="44.4259259259259" style="1" customWidth="1"/>
    <col min="3" max="3" width="40.712962962963" style="1" customWidth="1"/>
    <col min="4" max="4" width="34.7777777777778" style="1" customWidth="1"/>
    <col min="5" max="11" width="27" style="1" customWidth="1"/>
    <col min="12" max="12" width="9.13888888888889" style="1"/>
    <col min="13" max="13" width="8.13888888888889" style="1" customWidth="1"/>
    <col min="14" max="14" width="8.85185185185185" style="1" customWidth="1"/>
    <col min="15" max="15" width="5" style="1" customWidth="1"/>
    <col min="16" max="16" width="3.85185185185185" style="1" customWidth="1"/>
    <col min="17" max="17" width="8.57407407407407" style="1" customWidth="1"/>
    <col min="18" max="21" width="9.13888888888889" style="1"/>
    <col min="22" max="23" width="12.8888888888889" style="1"/>
    <col min="24" max="16383" width="9.13888888888889" style="1"/>
    <col min="16384" max="16384" width="9" style="1"/>
  </cols>
  <sheetData>
    <row r="1" spans="14:15">
      <c r="N1" s="8"/>
      <c r="O1" s="8"/>
    </row>
    <row r="2" ht="39.6" spans="1:23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2" t="s">
        <v>11</v>
      </c>
      <c r="M2" s="2" t="s">
        <v>12</v>
      </c>
      <c r="N2" s="9" t="s">
        <v>13</v>
      </c>
      <c r="O2" s="9" t="s">
        <v>14</v>
      </c>
      <c r="P2" s="10"/>
      <c r="Q2" s="10"/>
      <c r="R2" s="5" t="s">
        <v>15</v>
      </c>
      <c r="S2" s="5" t="s">
        <v>16</v>
      </c>
      <c r="T2" s="12" t="s">
        <v>17</v>
      </c>
      <c r="U2" s="12" t="s">
        <v>18</v>
      </c>
      <c r="V2" s="12" t="s">
        <v>19</v>
      </c>
      <c r="W2" s="12" t="s">
        <v>20</v>
      </c>
    </row>
    <row r="3" ht="38.4" spans="1:23">
      <c r="A3" s="5">
        <v>20</v>
      </c>
      <c r="B3" s="6" t="s">
        <v>21</v>
      </c>
      <c r="C3" s="6" t="s">
        <v>22</v>
      </c>
      <c r="D3" s="6" t="s">
        <v>23</v>
      </c>
      <c r="E3" s="7" t="s">
        <v>24</v>
      </c>
      <c r="F3" s="7" t="s">
        <v>25</v>
      </c>
      <c r="G3" s="7"/>
      <c r="H3" s="7" t="s">
        <v>26</v>
      </c>
      <c r="I3" s="7" t="s">
        <v>27</v>
      </c>
      <c r="J3" s="7" t="s">
        <v>28</v>
      </c>
      <c r="K3" s="7" t="s">
        <v>29</v>
      </c>
      <c r="L3" s="11">
        <v>3</v>
      </c>
      <c r="M3" s="6" t="s">
        <v>30</v>
      </c>
      <c r="N3" s="6"/>
      <c r="O3" s="6"/>
      <c r="P3" s="6"/>
      <c r="Q3" s="6"/>
      <c r="R3" s="5">
        <v>416</v>
      </c>
      <c r="S3" s="5">
        <f>R3*L3</f>
        <v>1248</v>
      </c>
      <c r="T3" s="1">
        <f>R3*1.25</f>
        <v>520</v>
      </c>
      <c r="U3" s="1">
        <f>T3*L3</f>
        <v>1560</v>
      </c>
      <c r="V3" s="1">
        <f>T3/7.05</f>
        <v>73.758865248227</v>
      </c>
      <c r="W3" s="1">
        <f>V3*L3</f>
        <v>221.276595744681</v>
      </c>
    </row>
    <row r="4" ht="38.4" spans="1:23">
      <c r="A4" s="5">
        <v>30</v>
      </c>
      <c r="B4" s="6" t="s">
        <v>31</v>
      </c>
      <c r="C4" s="6" t="s">
        <v>32</v>
      </c>
      <c r="D4" s="6" t="s">
        <v>33</v>
      </c>
      <c r="E4" s="7" t="s">
        <v>34</v>
      </c>
      <c r="F4" s="7" t="s">
        <v>35</v>
      </c>
      <c r="G4" s="7" t="s">
        <v>36</v>
      </c>
      <c r="H4" s="7" t="s">
        <v>37</v>
      </c>
      <c r="I4" s="7" t="s">
        <v>38</v>
      </c>
      <c r="J4" s="7"/>
      <c r="K4" s="7" t="s">
        <v>39</v>
      </c>
      <c r="L4" s="11">
        <v>7</v>
      </c>
      <c r="M4" s="6" t="s">
        <v>30</v>
      </c>
      <c r="N4" s="6"/>
      <c r="O4" s="6"/>
      <c r="P4" s="6"/>
      <c r="Q4" s="6"/>
      <c r="R4" s="5">
        <v>112</v>
      </c>
      <c r="S4" s="5">
        <f>R4*L4</f>
        <v>784</v>
      </c>
      <c r="T4" s="1">
        <f>R4*1.25</f>
        <v>140</v>
      </c>
      <c r="U4" s="1">
        <f>T4*L4</f>
        <v>980</v>
      </c>
      <c r="V4" s="1">
        <f>T4/7.05</f>
        <v>19.8581560283688</v>
      </c>
      <c r="W4" s="1">
        <f>V4*L4</f>
        <v>139.007092198582</v>
      </c>
    </row>
    <row r="5" ht="57.6" spans="1:23">
      <c r="A5" s="5">
        <v>40</v>
      </c>
      <c r="B5" s="6" t="s">
        <v>40</v>
      </c>
      <c r="C5" s="6" t="s">
        <v>41</v>
      </c>
      <c r="D5" s="6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/>
      <c r="K5" s="7" t="s">
        <v>48</v>
      </c>
      <c r="L5" s="11">
        <v>3</v>
      </c>
      <c r="M5" s="6" t="s">
        <v>30</v>
      </c>
      <c r="N5" s="6"/>
      <c r="O5" s="6"/>
      <c r="P5" s="6"/>
      <c r="Q5" s="6"/>
      <c r="R5" s="5">
        <v>6512</v>
      </c>
      <c r="S5" s="5">
        <f>R5*L5</f>
        <v>19536</v>
      </c>
      <c r="T5" s="1">
        <f>R5*1.25</f>
        <v>8140</v>
      </c>
      <c r="U5" s="1">
        <f>T5*L5</f>
        <v>24420</v>
      </c>
      <c r="V5" s="1">
        <f>T5/7.05</f>
        <v>1154.60992907801</v>
      </c>
      <c r="W5" s="1">
        <f>V5*L5</f>
        <v>3463.82978723404</v>
      </c>
    </row>
    <row r="6" ht="38.4" spans="1:23">
      <c r="A6" s="5">
        <v>50</v>
      </c>
      <c r="B6" s="6" t="s">
        <v>49</v>
      </c>
      <c r="C6" s="6" t="s">
        <v>50</v>
      </c>
      <c r="D6" s="6" t="s">
        <v>51</v>
      </c>
      <c r="E6" s="7" t="s">
        <v>52</v>
      </c>
      <c r="F6" s="7" t="s">
        <v>53</v>
      </c>
      <c r="G6" s="7" t="s">
        <v>54</v>
      </c>
      <c r="H6" s="7" t="s">
        <v>37</v>
      </c>
      <c r="I6" s="7" t="s">
        <v>38</v>
      </c>
      <c r="J6" s="7"/>
      <c r="K6" s="7" t="s">
        <v>39</v>
      </c>
      <c r="L6" s="11">
        <v>2</v>
      </c>
      <c r="M6" s="6" t="s">
        <v>30</v>
      </c>
      <c r="N6" s="6"/>
      <c r="O6" s="6"/>
      <c r="P6" s="6"/>
      <c r="Q6" s="6"/>
      <c r="R6" s="5">
        <v>120</v>
      </c>
      <c r="S6" s="5">
        <f>R6*L6</f>
        <v>240</v>
      </c>
      <c r="T6" s="1">
        <f>R6*1.25</f>
        <v>150</v>
      </c>
      <c r="U6" s="1">
        <f>T6*L6</f>
        <v>300</v>
      </c>
      <c r="V6" s="1">
        <f>T6/7.05</f>
        <v>21.2765957446809</v>
      </c>
      <c r="W6" s="1">
        <f>V6*L6</f>
        <v>42.5531914893617</v>
      </c>
    </row>
    <row r="7" ht="73.2" spans="1:23">
      <c r="A7" s="5">
        <v>20</v>
      </c>
      <c r="B7" s="6" t="s">
        <v>55</v>
      </c>
      <c r="C7" s="6" t="s">
        <v>23</v>
      </c>
      <c r="D7" s="6" t="s">
        <v>56</v>
      </c>
      <c r="E7" s="7" t="s">
        <v>57</v>
      </c>
      <c r="F7" s="7" t="s">
        <v>58</v>
      </c>
      <c r="G7" s="7"/>
      <c r="H7" s="7" t="s">
        <v>59</v>
      </c>
      <c r="I7" s="7" t="s">
        <v>60</v>
      </c>
      <c r="J7" s="7" t="s">
        <v>61</v>
      </c>
      <c r="K7" s="7" t="s">
        <v>62</v>
      </c>
      <c r="L7" s="11">
        <v>2</v>
      </c>
      <c r="M7" s="6" t="s">
        <v>30</v>
      </c>
      <c r="N7" s="6"/>
      <c r="O7" s="6"/>
      <c r="P7" s="6"/>
      <c r="Q7" s="6"/>
      <c r="R7" s="5">
        <v>288</v>
      </c>
      <c r="S7" s="5">
        <f>R7*L7</f>
        <v>576</v>
      </c>
      <c r="T7" s="1">
        <f>R7*1.25</f>
        <v>360</v>
      </c>
      <c r="U7" s="1">
        <f>T7*L7</f>
        <v>720</v>
      </c>
      <c r="V7" s="1">
        <f>T7/7.05</f>
        <v>51.063829787234</v>
      </c>
      <c r="W7" s="1">
        <f>V7*L7</f>
        <v>102.127659574468</v>
      </c>
    </row>
    <row r="8" spans="19:23">
      <c r="S8" s="1">
        <f>S3+S4+S5+S6+S7</f>
        <v>22384</v>
      </c>
      <c r="T8" s="1">
        <f>R8*1.25</f>
        <v>0</v>
      </c>
      <c r="U8" s="1">
        <f>SUM(U3:U7)</f>
        <v>27980</v>
      </c>
      <c r="V8" s="1">
        <f>T8/7.05</f>
        <v>0</v>
      </c>
      <c r="W8" s="1">
        <f>SUM(W3:W7)</f>
        <v>3968.79432624113</v>
      </c>
    </row>
    <row r="11" spans="2:2">
      <c r="B11" s="1" t="s">
        <v>63</v>
      </c>
    </row>
  </sheetData>
  <mergeCells count="1">
    <mergeCell ref="N1:O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F50ADB1-9A58-450C-B656-C888746F31CA}">
  <ds:schemaRefs/>
</ds:datastoreItem>
</file>

<file path=customXml/itemProps2.xml><?xml version="1.0" encoding="utf-8"?>
<ds:datastoreItem xmlns:ds="http://schemas.openxmlformats.org/officeDocument/2006/customXml" ds:itemID="{0F30E138-A595-4C7A-92B1-53E98368F48C}">
  <ds:schemaRefs/>
</ds:datastoreItem>
</file>

<file path=customXml/itemProps3.xml><?xml version="1.0" encoding="utf-8"?>
<ds:datastoreItem xmlns:ds="http://schemas.openxmlformats.org/officeDocument/2006/customXml" ds:itemID="{398311BD-78A4-4101-8CF7-D87D08C0543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CN25883-JN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See Hui</dc:creator>
  <cp:lastModifiedBy>Administrator</cp:lastModifiedBy>
  <dcterms:created xsi:type="dcterms:W3CDTF">2025-10-09T08:30:00Z</dcterms:created>
  <dcterms:modified xsi:type="dcterms:W3CDTF">2025-10-17T02:54:12Z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0x0101004EC5CBD40CB9464EBC9A7CA29481DCCC</vt:lpwstr>
  </property>
  <property fmtid="{D5CDD505-2E9C-101B-9397-08002B2CF9AE}" pid="3" name="MediaServiceImageTags">
    <vt:lpwstr/>
  </property>
  <property fmtid="{D5CDD505-2E9C-101B-9397-08002B2CF9AE}" pid="4" name="ICV">
    <vt:lpwstr>3A54B6C0AA624F24B509B0FF4A21FE83_13</vt:lpwstr>
  </property>
  <property fmtid="{D5CDD505-2E9C-101B-9397-08002B2CF9AE}" pid="5" name="KSOProductBuildVer">
    <vt:lpwstr>2052-12.1.0.22529</vt:lpwstr>
  </property>
  <property fmtid="{D5CDD505-2E9C-101B-9397-08002B2CF9AE}" pid="6" name="KSOReadingLayout">
    <vt:bool>true</vt:bool>
  </property>
</Properties>
</file>